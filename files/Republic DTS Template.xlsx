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drawings/drawing3.xml" ContentType="application/vnd.openxmlformats-officedocument.drawing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drawings/drawing4.xml" ContentType="application/vnd.openxmlformats-officedocument.drawing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drawings/drawing5.xml" ContentType="application/vnd.openxmlformats-officedocument.drawing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drawings/drawing6.xml" ContentType="application/vnd.openxmlformats-officedocument.drawing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drawings/drawing7.xml" ContentType="application/vnd.openxmlformats-officedocument.drawing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thomashotels-my.sharepoint.com/personal/republic_thomashotels_com_au/Documents/The Republic Hotel- New/Republic Hotel - EOW &amp; DTS/"/>
    </mc:Choice>
  </mc:AlternateContent>
  <xr:revisionPtr revIDLastSave="17" documentId="14_{7B303A96-E214-46BA-A578-E453F3620744}" xr6:coauthVersionLast="47" xr6:coauthVersionMax="47" xr10:uidLastSave="{477A735A-3240-4D2C-9D03-838F3CBABD05}"/>
  <bookViews>
    <workbookView xWindow="-28920" yWindow="-120" windowWidth="29040" windowHeight="15720" tabRatio="929" activeTab="13" xr2:uid="{00000000-000D-0000-FFFF-FFFF00000000}"/>
  </bookViews>
  <sheets>
    <sheet name="Mon" sheetId="35" r:id="rId1"/>
    <sheet name="Mon diary" sheetId="43" r:id="rId2"/>
    <sheet name="Tue" sheetId="36" r:id="rId3"/>
    <sheet name="Tue diary" sheetId="44" r:id="rId4"/>
    <sheet name="Wed" sheetId="37" r:id="rId5"/>
    <sheet name="Wed diary" sheetId="45" r:id="rId6"/>
    <sheet name="Thu" sheetId="38" r:id="rId7"/>
    <sheet name="Thu diary" sheetId="46" r:id="rId8"/>
    <sheet name="Fri" sheetId="39" r:id="rId9"/>
    <sheet name="Fri diary" sheetId="47" r:id="rId10"/>
    <sheet name="Sat" sheetId="40" r:id="rId11"/>
    <sheet name="Sat diary" sheetId="48" r:id="rId12"/>
    <sheet name="Sun" sheetId="41" r:id="rId13"/>
    <sheet name="Sun diary" sheetId="49" r:id="rId14"/>
    <sheet name="Takings" sheetId="4" r:id="rId15"/>
    <sheet name="Safe Count" sheetId="63" r:id="rId16"/>
    <sheet name="EOW Report" sheetId="64" r:id="rId17"/>
    <sheet name="Petty Cash" sheetId="62" r:id="rId18"/>
    <sheet name="WAGES" sheetId="65" r:id="rId19"/>
    <sheet name="Banking EOW" sheetId="51" r:id="rId20"/>
  </sheets>
  <definedNames>
    <definedName name="_xlnm.Print_Area" localSheetId="8">Fri!$A$1:$R$43</definedName>
    <definedName name="_xlnm.Print_Area" localSheetId="0">Mon!$A$1:$R$43</definedName>
    <definedName name="_xlnm.Print_Area" localSheetId="1">'Mon diary'!$A$1:$J$44</definedName>
    <definedName name="_xlnm.Print_Area" localSheetId="10">Sat!$A$1:$R$43</definedName>
    <definedName name="_xlnm.Print_Area" localSheetId="12">Sun!$A$1:$R$43</definedName>
    <definedName name="_xlnm.Print_Area" localSheetId="14">Takings!$A$1:$Q$59</definedName>
    <definedName name="_xlnm.Print_Area" localSheetId="6">Thu!$A$1:$R$43</definedName>
    <definedName name="_xlnm.Print_Area" localSheetId="2">Tue!$A$1:$R$43</definedName>
    <definedName name="_xlnm.Print_Area" localSheetId="4">Wed!$A$1:$R$43</definedName>
    <definedName name="Z_B89DCFC0_6E0C_11D4_922A_006067718123_.wvu.PrintArea" localSheetId="14" hidden="1">Takings!$A$2:$Q$49</definedName>
  </definedNames>
  <calcPr calcId="191028"/>
  <customWorkbookViews>
    <customWorkbookView name="Troy Williams - Personal View" guid="{B89DCFC0-6E0C-11D4-922A-006067718123}" mergeInterval="0" personalView="1" maximized="1" windowWidth="796" windowHeight="437" tabRatio="891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36" l="1"/>
  <c r="Q5" i="37"/>
  <c r="Q5" i="38"/>
  <c r="Q5" i="39"/>
  <c r="Q5" i="40"/>
  <c r="Q5" i="41"/>
  <c r="Q5" i="35"/>
  <c r="Q4" i="36"/>
  <c r="Q4" i="37"/>
  <c r="Q4" i="38"/>
  <c r="Q4" i="39"/>
  <c r="Q4" i="40"/>
  <c r="Q4" i="41"/>
  <c r="Q4" i="35"/>
  <c r="N24" i="36"/>
  <c r="N24" i="37"/>
  <c r="N24" i="38"/>
  <c r="N24" i="39"/>
  <c r="N24" i="40"/>
  <c r="N24" i="41"/>
  <c r="N24" i="35"/>
  <c r="N23" i="36"/>
  <c r="N23" i="37"/>
  <c r="N23" i="38"/>
  <c r="N23" i="39"/>
  <c r="N23" i="40"/>
  <c r="N23" i="41"/>
  <c r="N23" i="35"/>
  <c r="O23" i="35"/>
  <c r="B6" i="65" l="1"/>
  <c r="B4" i="65"/>
  <c r="B3" i="65"/>
  <c r="B2" i="65"/>
  <c r="D2" i="65"/>
  <c r="C7" i="65"/>
  <c r="B7" i="65"/>
  <c r="D3" i="65"/>
  <c r="D4" i="65"/>
  <c r="F15" i="64" l="1"/>
  <c r="G13" i="64"/>
  <c r="G12" i="64"/>
  <c r="I45" i="49"/>
  <c r="G45" i="49"/>
  <c r="I37" i="49"/>
  <c r="G37" i="49"/>
  <c r="G29" i="49"/>
  <c r="I29" i="49"/>
  <c r="I21" i="49"/>
  <c r="G21" i="49"/>
  <c r="I45" i="48"/>
  <c r="G45" i="48"/>
  <c r="I37" i="48"/>
  <c r="G37" i="48"/>
  <c r="G29" i="48"/>
  <c r="I29" i="48"/>
  <c r="I21" i="48"/>
  <c r="G21" i="48"/>
  <c r="I45" i="47"/>
  <c r="G45" i="47"/>
  <c r="G37" i="47"/>
  <c r="I37" i="47"/>
  <c r="G29" i="47"/>
  <c r="I29" i="47"/>
  <c r="I21" i="47"/>
  <c r="G21" i="47"/>
  <c r="I45" i="46"/>
  <c r="G45" i="46"/>
  <c r="I37" i="46"/>
  <c r="G37" i="46"/>
  <c r="I29" i="46"/>
  <c r="G29" i="46"/>
  <c r="I21" i="46"/>
  <c r="G21" i="46"/>
  <c r="I45" i="45"/>
  <c r="G45" i="45"/>
  <c r="I37" i="45"/>
  <c r="G37" i="45"/>
  <c r="I29" i="45"/>
  <c r="G29" i="45"/>
  <c r="I21" i="45"/>
  <c r="G21" i="45"/>
  <c r="I45" i="44"/>
  <c r="G45" i="44"/>
  <c r="I37" i="44"/>
  <c r="G37" i="44"/>
  <c r="I29" i="44"/>
  <c r="G29" i="44"/>
  <c r="I21" i="44"/>
  <c r="G21" i="44"/>
  <c r="I45" i="43"/>
  <c r="G45" i="43"/>
  <c r="I37" i="43"/>
  <c r="G37" i="43"/>
  <c r="I29" i="43"/>
  <c r="G29" i="43"/>
  <c r="I21" i="43"/>
  <c r="G21" i="43"/>
  <c r="I15" i="43"/>
  <c r="G15" i="43"/>
  <c r="B21" i="64"/>
  <c r="B13" i="64"/>
  <c r="B20" i="64" l="1"/>
  <c r="B19" i="64"/>
  <c r="B18" i="64"/>
  <c r="C21" i="64"/>
  <c r="K28" i="51" l="1"/>
  <c r="K30" i="4" l="1"/>
  <c r="K29" i="4"/>
  <c r="K28" i="4"/>
  <c r="K27" i="4"/>
  <c r="K26" i="4"/>
  <c r="K25" i="4"/>
  <c r="K24" i="4"/>
  <c r="J30" i="4"/>
  <c r="J29" i="4"/>
  <c r="J28" i="4"/>
  <c r="J27" i="4"/>
  <c r="J26" i="4"/>
  <c r="J25" i="4"/>
  <c r="J24" i="4"/>
  <c r="R39" i="35" l="1"/>
  <c r="R39" i="36"/>
  <c r="R39" i="37"/>
  <c r="R39" i="38"/>
  <c r="R39" i="39"/>
  <c r="R39" i="40"/>
  <c r="R26" i="40" s="1"/>
  <c r="R39" i="41"/>
  <c r="R26" i="41" s="1"/>
  <c r="R26" i="35"/>
  <c r="R26" i="36"/>
  <c r="R26" i="37"/>
  <c r="R26" i="38"/>
  <c r="R26" i="39"/>
  <c r="J43" i="36"/>
  <c r="J43" i="37"/>
  <c r="J43" i="38"/>
  <c r="J43" i="39"/>
  <c r="J43" i="40"/>
  <c r="J43" i="41"/>
  <c r="J43" i="35"/>
  <c r="R7" i="36"/>
  <c r="R7" i="37"/>
  <c r="R7" i="38"/>
  <c r="R7" i="39"/>
  <c r="R7" i="40"/>
  <c r="R7" i="41"/>
  <c r="R7" i="35"/>
  <c r="R6" i="36"/>
  <c r="R6" i="37"/>
  <c r="R6" i="38"/>
  <c r="R6" i="39"/>
  <c r="R6" i="40"/>
  <c r="R6" i="41"/>
  <c r="R6" i="35"/>
  <c r="R5" i="36"/>
  <c r="R5" i="37"/>
  <c r="R5" i="38"/>
  <c r="R5" i="39"/>
  <c r="R5" i="40"/>
  <c r="R5" i="41"/>
  <c r="R5" i="35"/>
  <c r="R4" i="36"/>
  <c r="R4" i="37"/>
  <c r="R4" i="38"/>
  <c r="R4" i="39"/>
  <c r="R4" i="40"/>
  <c r="R4" i="41"/>
  <c r="R4" i="35"/>
  <c r="R8" i="36"/>
  <c r="R8" i="37"/>
  <c r="R8" i="38"/>
  <c r="R8" i="39"/>
  <c r="R8" i="40"/>
  <c r="R8" i="41"/>
  <c r="R8" i="35"/>
  <c r="O30" i="36"/>
  <c r="O30" i="37"/>
  <c r="O30" i="38"/>
  <c r="O30" i="39"/>
  <c r="O30" i="40"/>
  <c r="O30" i="41"/>
  <c r="O30" i="35"/>
  <c r="O29" i="36"/>
  <c r="O29" i="37"/>
  <c r="O29" i="38"/>
  <c r="O29" i="39"/>
  <c r="O29" i="40"/>
  <c r="O29" i="41"/>
  <c r="O29" i="35"/>
  <c r="O28" i="36"/>
  <c r="O28" i="37"/>
  <c r="O28" i="38"/>
  <c r="O28" i="39"/>
  <c r="O28" i="40"/>
  <c r="O28" i="41"/>
  <c r="O28" i="35"/>
  <c r="O27" i="36"/>
  <c r="O27" i="37"/>
  <c r="O27" i="38"/>
  <c r="O27" i="39"/>
  <c r="O27" i="40"/>
  <c r="O27" i="41"/>
  <c r="O27" i="35"/>
  <c r="O26" i="36"/>
  <c r="O26" i="37"/>
  <c r="O26" i="38"/>
  <c r="O26" i="39"/>
  <c r="O26" i="40"/>
  <c r="O26" i="41"/>
  <c r="O26" i="35"/>
  <c r="O23" i="36"/>
  <c r="O23" i="37"/>
  <c r="O23" i="38"/>
  <c r="O23" i="39"/>
  <c r="O23" i="40"/>
  <c r="O23" i="41"/>
  <c r="O24" i="36"/>
  <c r="O24" i="37"/>
  <c r="O24" i="38"/>
  <c r="O24" i="39"/>
  <c r="O24" i="40"/>
  <c r="O24" i="41"/>
  <c r="O24" i="35"/>
  <c r="J29" i="35"/>
  <c r="O4" i="41"/>
  <c r="E8" i="36" l="1"/>
  <c r="E8" i="37"/>
  <c r="E8" i="38"/>
  <c r="E8" i="39"/>
  <c r="E8" i="40"/>
  <c r="E8" i="41"/>
  <c r="E8" i="35"/>
  <c r="E15" i="36"/>
  <c r="E15" i="37"/>
  <c r="E15" i="38"/>
  <c r="E15" i="39"/>
  <c r="E15" i="40"/>
  <c r="E15" i="41"/>
  <c r="E15" i="35"/>
  <c r="E22" i="36"/>
  <c r="E22" i="37"/>
  <c r="E22" i="38"/>
  <c r="E22" i="39"/>
  <c r="E22" i="40"/>
  <c r="E22" i="41"/>
  <c r="E22" i="35"/>
  <c r="E28" i="36"/>
  <c r="E28" i="37"/>
  <c r="E28" i="38"/>
  <c r="E28" i="39"/>
  <c r="E28" i="40"/>
  <c r="E28" i="41"/>
  <c r="E28" i="35"/>
  <c r="E36" i="36"/>
  <c r="E36" i="37"/>
  <c r="E36" i="38"/>
  <c r="E36" i="39"/>
  <c r="E36" i="40"/>
  <c r="E36" i="41"/>
  <c r="E36" i="35"/>
  <c r="E42" i="36"/>
  <c r="E42" i="37"/>
  <c r="E42" i="38"/>
  <c r="E42" i="39"/>
  <c r="E42" i="40"/>
  <c r="E42" i="41"/>
  <c r="E42" i="35"/>
  <c r="E50" i="36"/>
  <c r="E50" i="37"/>
  <c r="E50" i="38"/>
  <c r="E50" i="39"/>
  <c r="E50" i="40"/>
  <c r="E50" i="41"/>
  <c r="E50" i="35"/>
  <c r="E57" i="36"/>
  <c r="E57" i="37"/>
  <c r="E57" i="38"/>
  <c r="E57" i="39"/>
  <c r="E57" i="40"/>
  <c r="E57" i="41"/>
  <c r="E57" i="35"/>
  <c r="B51" i="4" s="1"/>
  <c r="C51" i="4" l="1"/>
  <c r="G51" i="4"/>
  <c r="H51" i="4"/>
  <c r="E51" i="4"/>
  <c r="F51" i="4"/>
  <c r="I51" i="4" s="1"/>
  <c r="D51" i="4"/>
  <c r="J36" i="37"/>
  <c r="N58" i="4" l="1"/>
  <c r="M58" i="4"/>
  <c r="H8" i="35"/>
  <c r="I8" i="35"/>
  <c r="H15" i="35"/>
  <c r="I15" i="35"/>
  <c r="H22" i="35"/>
  <c r="I22" i="35"/>
  <c r="H28" i="35"/>
  <c r="I28" i="35"/>
  <c r="H36" i="35"/>
  <c r="I36" i="35"/>
  <c r="H42" i="35"/>
  <c r="I42" i="35"/>
  <c r="H50" i="35"/>
  <c r="I50" i="35"/>
  <c r="H57" i="35"/>
  <c r="I57" i="35"/>
  <c r="H8" i="41"/>
  <c r="I8" i="41"/>
  <c r="H15" i="41"/>
  <c r="I15" i="41"/>
  <c r="H22" i="41"/>
  <c r="I22" i="41"/>
  <c r="H28" i="41"/>
  <c r="I28" i="41"/>
  <c r="H36" i="41"/>
  <c r="I36" i="41"/>
  <c r="H42" i="41"/>
  <c r="I42" i="41"/>
  <c r="H50" i="41"/>
  <c r="I50" i="41"/>
  <c r="H57" i="41"/>
  <c r="I57" i="41"/>
  <c r="H8" i="40"/>
  <c r="I8" i="40"/>
  <c r="H15" i="40"/>
  <c r="I15" i="40"/>
  <c r="H22" i="40"/>
  <c r="I22" i="40"/>
  <c r="H28" i="40"/>
  <c r="I28" i="40"/>
  <c r="H36" i="40"/>
  <c r="I36" i="40"/>
  <c r="H42" i="40"/>
  <c r="I42" i="40"/>
  <c r="H50" i="40"/>
  <c r="I50" i="40"/>
  <c r="H57" i="40"/>
  <c r="I57" i="40"/>
  <c r="H8" i="39"/>
  <c r="I8" i="39"/>
  <c r="H15" i="39"/>
  <c r="I15" i="39"/>
  <c r="H22" i="39"/>
  <c r="I22" i="39"/>
  <c r="H28" i="39"/>
  <c r="I28" i="39"/>
  <c r="H36" i="39"/>
  <c r="I36" i="39"/>
  <c r="H42" i="39"/>
  <c r="I42" i="39"/>
  <c r="H50" i="39"/>
  <c r="I50" i="39"/>
  <c r="H57" i="39"/>
  <c r="I57" i="39"/>
  <c r="H8" i="38"/>
  <c r="I8" i="38"/>
  <c r="H15" i="38"/>
  <c r="I15" i="38"/>
  <c r="H22" i="38"/>
  <c r="I22" i="38"/>
  <c r="H28" i="38"/>
  <c r="I28" i="38"/>
  <c r="H36" i="38"/>
  <c r="I36" i="38"/>
  <c r="H42" i="38"/>
  <c r="I42" i="38"/>
  <c r="H50" i="38"/>
  <c r="I50" i="38"/>
  <c r="H57" i="38"/>
  <c r="I57" i="38"/>
  <c r="H8" i="37"/>
  <c r="I8" i="37"/>
  <c r="H15" i="37"/>
  <c r="I15" i="37"/>
  <c r="H22" i="37"/>
  <c r="I22" i="37"/>
  <c r="H28" i="37"/>
  <c r="I28" i="37"/>
  <c r="H36" i="37"/>
  <c r="I36" i="37"/>
  <c r="H42" i="37"/>
  <c r="I42" i="37"/>
  <c r="H50" i="37"/>
  <c r="I50" i="37"/>
  <c r="H57" i="37"/>
  <c r="I57" i="37"/>
  <c r="H8" i="36"/>
  <c r="I8" i="36"/>
  <c r="H15" i="36"/>
  <c r="I15" i="36"/>
  <c r="H22" i="36"/>
  <c r="I22" i="36"/>
  <c r="H28" i="36"/>
  <c r="I28" i="36"/>
  <c r="H36" i="36"/>
  <c r="I36" i="36"/>
  <c r="H42" i="36"/>
  <c r="I42" i="36"/>
  <c r="H50" i="36"/>
  <c r="I50" i="36"/>
  <c r="H57" i="36"/>
  <c r="I57" i="36"/>
  <c r="R27" i="35" l="1"/>
  <c r="R24" i="4" s="1"/>
  <c r="R27" i="36"/>
  <c r="R25" i="4" s="1"/>
  <c r="R27" i="37"/>
  <c r="R26" i="4" s="1"/>
  <c r="R27" i="38"/>
  <c r="R27" i="4" s="1"/>
  <c r="R27" i="39"/>
  <c r="R28" i="4" s="1"/>
  <c r="R27" i="40"/>
  <c r="R29" i="4" s="1"/>
  <c r="R27" i="41"/>
  <c r="R30" i="4" s="1"/>
  <c r="L57" i="36"/>
  <c r="J57" i="36"/>
  <c r="G57" i="36"/>
  <c r="D57" i="36"/>
  <c r="C57" i="36"/>
  <c r="B57" i="36"/>
  <c r="F56" i="36"/>
  <c r="K56" i="36" s="1"/>
  <c r="F55" i="36"/>
  <c r="K55" i="36" s="1"/>
  <c r="F54" i="36"/>
  <c r="K54" i="36" s="1"/>
  <c r="L57" i="37"/>
  <c r="J57" i="37"/>
  <c r="G57" i="37"/>
  <c r="D57" i="37"/>
  <c r="C57" i="37"/>
  <c r="B57" i="37"/>
  <c r="F56" i="37"/>
  <c r="K56" i="37" s="1"/>
  <c r="F55" i="37"/>
  <c r="K55" i="37" s="1"/>
  <c r="F54" i="37"/>
  <c r="K54" i="37" s="1"/>
  <c r="L57" i="38"/>
  <c r="J57" i="38"/>
  <c r="G57" i="38"/>
  <c r="D57" i="38"/>
  <c r="C57" i="38"/>
  <c r="B57" i="38"/>
  <c r="F56" i="38"/>
  <c r="K56" i="38" s="1"/>
  <c r="F55" i="38"/>
  <c r="K55" i="38" s="1"/>
  <c r="F54" i="38"/>
  <c r="K54" i="38" s="1"/>
  <c r="L57" i="39"/>
  <c r="J57" i="39"/>
  <c r="G57" i="39"/>
  <c r="D57" i="39"/>
  <c r="C57" i="39"/>
  <c r="B57" i="39"/>
  <c r="F56" i="39"/>
  <c r="K56" i="39" s="1"/>
  <c r="F55" i="39"/>
  <c r="K55" i="39" s="1"/>
  <c r="F54" i="39"/>
  <c r="K54" i="39" s="1"/>
  <c r="L57" i="40"/>
  <c r="J57" i="40"/>
  <c r="G57" i="40"/>
  <c r="D57" i="40"/>
  <c r="C57" i="40"/>
  <c r="B57" i="40"/>
  <c r="F56" i="40"/>
  <c r="K56" i="40" s="1"/>
  <c r="F55" i="40"/>
  <c r="K55" i="40" s="1"/>
  <c r="F54" i="40"/>
  <c r="K54" i="40" s="1"/>
  <c r="L57" i="41"/>
  <c r="J57" i="41"/>
  <c r="G57" i="41"/>
  <c r="D57" i="41"/>
  <c r="C57" i="41"/>
  <c r="B57" i="41"/>
  <c r="F56" i="41"/>
  <c r="K56" i="41" s="1"/>
  <c r="F55" i="41"/>
  <c r="K55" i="41" s="1"/>
  <c r="F54" i="41"/>
  <c r="K54" i="41" s="1"/>
  <c r="L57" i="35"/>
  <c r="J57" i="35"/>
  <c r="G57" i="35"/>
  <c r="D57" i="35"/>
  <c r="C57" i="35"/>
  <c r="B57" i="35"/>
  <c r="F56" i="35"/>
  <c r="K56" i="35" s="1"/>
  <c r="F55" i="35"/>
  <c r="K55" i="35" s="1"/>
  <c r="F54" i="35"/>
  <c r="K54" i="35" s="1"/>
  <c r="C50" i="36"/>
  <c r="C42" i="36"/>
  <c r="C36" i="36"/>
  <c r="C28" i="36"/>
  <c r="C22" i="36"/>
  <c r="C15" i="36"/>
  <c r="C8" i="36"/>
  <c r="C50" i="37"/>
  <c r="C42" i="37"/>
  <c r="C36" i="37"/>
  <c r="C28" i="37"/>
  <c r="C22" i="37"/>
  <c r="C15" i="37"/>
  <c r="C8" i="37"/>
  <c r="C50" i="38"/>
  <c r="C42" i="38"/>
  <c r="C36" i="38"/>
  <c r="C28" i="38"/>
  <c r="C22" i="38"/>
  <c r="C15" i="38"/>
  <c r="C8" i="38"/>
  <c r="C50" i="39"/>
  <c r="C42" i="39"/>
  <c r="C36" i="39"/>
  <c r="C28" i="39"/>
  <c r="C22" i="39"/>
  <c r="C15" i="39"/>
  <c r="C8" i="39"/>
  <c r="C50" i="40"/>
  <c r="C42" i="40"/>
  <c r="C36" i="40"/>
  <c r="C28" i="40"/>
  <c r="C22" i="40"/>
  <c r="C15" i="40"/>
  <c r="C8" i="40"/>
  <c r="C50" i="41"/>
  <c r="C42" i="41"/>
  <c r="C36" i="41"/>
  <c r="C28" i="41"/>
  <c r="C22" i="41"/>
  <c r="C15" i="41"/>
  <c r="C8" i="41"/>
  <c r="C50" i="35"/>
  <c r="C42" i="35"/>
  <c r="C36" i="35"/>
  <c r="C28" i="35"/>
  <c r="C22" i="35"/>
  <c r="C15" i="35"/>
  <c r="C8" i="35"/>
  <c r="J58" i="37" l="1"/>
  <c r="J58" i="41"/>
  <c r="J58" i="36"/>
  <c r="J58" i="35"/>
  <c r="J58" i="38"/>
  <c r="J58" i="40"/>
  <c r="J58" i="39"/>
  <c r="R31" i="4"/>
  <c r="Q26" i="4"/>
  <c r="Q24" i="4"/>
  <c r="Q30" i="4"/>
  <c r="Q25" i="4"/>
  <c r="G19" i="4"/>
  <c r="G20" i="4" s="1"/>
  <c r="Q29" i="4"/>
  <c r="Q28" i="4"/>
  <c r="Q27" i="4"/>
  <c r="F57" i="41"/>
  <c r="F57" i="37"/>
  <c r="F57" i="39"/>
  <c r="F57" i="35"/>
  <c r="F57" i="38"/>
  <c r="F57" i="40"/>
  <c r="F57" i="36"/>
  <c r="K57" i="35"/>
  <c r="K57" i="38"/>
  <c r="K57" i="36"/>
  <c r="K57" i="41"/>
  <c r="K57" i="40"/>
  <c r="K57" i="39"/>
  <c r="K57" i="37"/>
  <c r="R9" i="37" l="1"/>
  <c r="D49" i="4" s="1"/>
  <c r="R9" i="41"/>
  <c r="H49" i="4" s="1"/>
  <c r="R9" i="35"/>
  <c r="B49" i="4" s="1"/>
  <c r="G5" i="4" s="1"/>
  <c r="R9" i="38"/>
  <c r="E49" i="4" s="1"/>
  <c r="R9" i="40"/>
  <c r="G49" i="4" s="1"/>
  <c r="R9" i="36"/>
  <c r="C49" i="4" s="1"/>
  <c r="R9" i="39"/>
  <c r="F49" i="4" s="1"/>
  <c r="G6" i="4" l="1"/>
  <c r="B17" i="44"/>
  <c r="G8" i="4"/>
  <c r="B17" i="46"/>
  <c r="G11" i="4"/>
  <c r="B17" i="49"/>
  <c r="G9" i="4"/>
  <c r="B17" i="47"/>
  <c r="G10" i="4"/>
  <c r="B17" i="48"/>
  <c r="C17" i="47"/>
  <c r="C17" i="46"/>
  <c r="C17" i="45"/>
  <c r="C17" i="44"/>
  <c r="B17" i="43"/>
  <c r="C17" i="49"/>
  <c r="C17" i="48"/>
  <c r="G7" i="4"/>
  <c r="B17" i="45"/>
  <c r="I49" i="4"/>
  <c r="G12" i="4" l="1"/>
  <c r="G21" i="4" l="1"/>
  <c r="B15" i="64"/>
  <c r="BM12" i="63"/>
  <c r="BM48" i="63" s="1"/>
  <c r="AO12" i="63"/>
  <c r="AO48" i="63" s="1"/>
  <c r="AO50" i="63" s="1"/>
  <c r="BG12" i="63"/>
  <c r="BG48" i="63" s="1"/>
  <c r="BF12" i="63"/>
  <c r="BF48" i="63" s="1"/>
  <c r="BE12" i="63"/>
  <c r="BE48" i="63" s="1"/>
  <c r="BB12" i="63"/>
  <c r="BB48" i="63" s="1"/>
  <c r="BA12" i="63"/>
  <c r="BA48" i="63" s="1"/>
  <c r="AY12" i="63"/>
  <c r="AY48" i="63" s="1"/>
  <c r="AX12" i="63"/>
  <c r="AX48" i="63" s="1"/>
  <c r="AU12" i="63"/>
  <c r="AU48" i="63" s="1"/>
  <c r="AT12" i="63"/>
  <c r="AT48" i="63" s="1"/>
  <c r="AR12" i="63"/>
  <c r="AR48" i="63" s="1"/>
  <c r="AQ12" i="63"/>
  <c r="AQ48" i="63" s="1"/>
  <c r="AP12" i="63"/>
  <c r="AP48" i="63" s="1"/>
  <c r="AN12" i="63"/>
  <c r="AN48" i="63" s="1"/>
  <c r="AM12" i="63"/>
  <c r="AM48" i="63" s="1"/>
  <c r="AL12" i="63"/>
  <c r="AL48" i="63" s="1"/>
  <c r="AK12" i="63"/>
  <c r="AK48" i="63" s="1"/>
  <c r="AJ12" i="63"/>
  <c r="AJ48" i="63" s="1"/>
  <c r="AI12" i="63"/>
  <c r="AI48" i="63" s="1"/>
  <c r="AH12" i="63"/>
  <c r="AH48" i="63" s="1"/>
  <c r="AG12" i="63"/>
  <c r="AG48" i="63" s="1"/>
  <c r="AF12" i="63"/>
  <c r="AF48" i="63" s="1"/>
  <c r="AE12" i="63"/>
  <c r="AE48" i="63" s="1"/>
  <c r="AD12" i="63"/>
  <c r="AD48" i="63" s="1"/>
  <c r="AC12" i="63"/>
  <c r="AC48" i="63" s="1"/>
  <c r="AB12" i="63"/>
  <c r="AB48" i="63" s="1"/>
  <c r="AA12" i="63"/>
  <c r="AA48" i="63" s="1"/>
  <c r="Z12" i="63"/>
  <c r="Z48" i="63" s="1"/>
  <c r="Y12" i="63"/>
  <c r="Y48" i="63" s="1"/>
  <c r="X12" i="63"/>
  <c r="X48" i="63" s="1"/>
  <c r="BI12" i="63" l="1"/>
  <c r="BI48" i="63" s="1"/>
  <c r="AS12" i="63"/>
  <c r="AS48" i="63" s="1"/>
  <c r="AZ12" i="63"/>
  <c r="AZ48" i="63" s="1"/>
  <c r="BH12" i="63"/>
  <c r="BH48" i="63" s="1"/>
  <c r="BJ12" i="63"/>
  <c r="BJ48" i="63" s="1"/>
  <c r="AV12" i="63"/>
  <c r="AV48" i="63" s="1"/>
  <c r="BC12" i="63"/>
  <c r="BC48" i="63" s="1"/>
  <c r="BK12" i="63"/>
  <c r="BK48" i="63" s="1"/>
  <c r="AW12" i="63"/>
  <c r="AW48" i="63" s="1"/>
  <c r="BD12" i="63"/>
  <c r="BD48" i="63" s="1"/>
  <c r="BL12" i="63"/>
  <c r="BL48" i="63" s="1"/>
  <c r="J55" i="4"/>
  <c r="Q43" i="4"/>
  <c r="Q42" i="4"/>
  <c r="Q41" i="4"/>
  <c r="Q40" i="4"/>
  <c r="Q39" i="4"/>
  <c r="Q38" i="4"/>
  <c r="Q37" i="4"/>
  <c r="Q44" i="4" l="1"/>
  <c r="J58" i="4" s="1"/>
  <c r="L50" i="41"/>
  <c r="J50" i="41"/>
  <c r="G50" i="41"/>
  <c r="O25" i="41" s="1"/>
  <c r="D50" i="41"/>
  <c r="B50" i="41"/>
  <c r="F49" i="41"/>
  <c r="K49" i="41" s="1"/>
  <c r="F48" i="41"/>
  <c r="K48" i="41" s="1"/>
  <c r="F47" i="41"/>
  <c r="K47" i="41" s="1"/>
  <c r="F46" i="41"/>
  <c r="K46" i="41" s="1"/>
  <c r="L42" i="41"/>
  <c r="J42" i="41"/>
  <c r="G42" i="41"/>
  <c r="D42" i="41"/>
  <c r="B42" i="41"/>
  <c r="F41" i="41"/>
  <c r="K41" i="41" s="1"/>
  <c r="F40" i="41"/>
  <c r="K40" i="41" s="1"/>
  <c r="F39" i="41"/>
  <c r="K39" i="41" s="1"/>
  <c r="L36" i="41"/>
  <c r="J36" i="41"/>
  <c r="G36" i="41"/>
  <c r="D36" i="41"/>
  <c r="B36" i="41"/>
  <c r="F35" i="41"/>
  <c r="K35" i="41" s="1"/>
  <c r="F34" i="41"/>
  <c r="K34" i="41" s="1"/>
  <c r="F33" i="41"/>
  <c r="L28" i="41"/>
  <c r="J28" i="41"/>
  <c r="G28" i="41"/>
  <c r="D28" i="41"/>
  <c r="B28" i="41"/>
  <c r="F27" i="41"/>
  <c r="K27" i="41" s="1"/>
  <c r="F26" i="41"/>
  <c r="K26" i="41" s="1"/>
  <c r="F25" i="41"/>
  <c r="K25" i="41" s="1"/>
  <c r="L22" i="41"/>
  <c r="J22" i="41"/>
  <c r="G22" i="41"/>
  <c r="D22" i="41"/>
  <c r="B22" i="41"/>
  <c r="F21" i="41"/>
  <c r="K21" i="41" s="1"/>
  <c r="O20" i="41"/>
  <c r="F20" i="41"/>
  <c r="K20" i="41" s="1"/>
  <c r="R19" i="41"/>
  <c r="F19" i="41"/>
  <c r="K19" i="41" s="1"/>
  <c r="O15" i="41"/>
  <c r="L15" i="41"/>
  <c r="J15" i="41"/>
  <c r="G15" i="41"/>
  <c r="D15" i="41"/>
  <c r="B15" i="41"/>
  <c r="R14" i="41"/>
  <c r="F14" i="41"/>
  <c r="K14" i="41" s="1"/>
  <c r="F13" i="41"/>
  <c r="K13" i="41" s="1"/>
  <c r="F12" i="41"/>
  <c r="L8" i="41"/>
  <c r="J8" i="41"/>
  <c r="G8" i="41"/>
  <c r="D8" i="41"/>
  <c r="H48" i="4" s="1"/>
  <c r="B8" i="41"/>
  <c r="O7" i="41"/>
  <c r="J11" i="4" s="1"/>
  <c r="F7" i="41"/>
  <c r="K7" i="41" s="1"/>
  <c r="F6" i="41"/>
  <c r="K6" i="41" s="1"/>
  <c r="F5" i="41"/>
  <c r="K5" i="41" s="1"/>
  <c r="L50" i="40"/>
  <c r="J50" i="40"/>
  <c r="G50" i="40"/>
  <c r="O25" i="40" s="1"/>
  <c r="D50" i="40"/>
  <c r="B50" i="40"/>
  <c r="F49" i="40"/>
  <c r="K49" i="40" s="1"/>
  <c r="F48" i="40"/>
  <c r="K48" i="40" s="1"/>
  <c r="F47" i="40"/>
  <c r="K47" i="40" s="1"/>
  <c r="F46" i="40"/>
  <c r="K46" i="40" s="1"/>
  <c r="L42" i="40"/>
  <c r="J42" i="40"/>
  <c r="G42" i="40"/>
  <c r="D42" i="40"/>
  <c r="B42" i="40"/>
  <c r="F41" i="40"/>
  <c r="K41" i="40" s="1"/>
  <c r="F40" i="40"/>
  <c r="K40" i="40" s="1"/>
  <c r="F39" i="40"/>
  <c r="K39" i="40" s="1"/>
  <c r="L36" i="40"/>
  <c r="J36" i="40"/>
  <c r="G36" i="40"/>
  <c r="D36" i="40"/>
  <c r="B36" i="40"/>
  <c r="F35" i="40"/>
  <c r="K35" i="40" s="1"/>
  <c r="F34" i="40"/>
  <c r="K34" i="40" s="1"/>
  <c r="F33" i="40"/>
  <c r="L28" i="40"/>
  <c r="J28" i="40"/>
  <c r="G28" i="40"/>
  <c r="D28" i="40"/>
  <c r="B28" i="40"/>
  <c r="F27" i="40"/>
  <c r="K27" i="40" s="1"/>
  <c r="F26" i="40"/>
  <c r="K26" i="40" s="1"/>
  <c r="F25" i="40"/>
  <c r="K25" i="40" s="1"/>
  <c r="L22" i="40"/>
  <c r="J22" i="40"/>
  <c r="G22" i="40"/>
  <c r="D22" i="40"/>
  <c r="B22" i="40"/>
  <c r="F21" i="40"/>
  <c r="K21" i="40" s="1"/>
  <c r="O20" i="40"/>
  <c r="F20" i="40"/>
  <c r="K20" i="40" s="1"/>
  <c r="R19" i="40"/>
  <c r="F19" i="40"/>
  <c r="K19" i="40" s="1"/>
  <c r="O15" i="40"/>
  <c r="L15" i="40"/>
  <c r="J15" i="40"/>
  <c r="G15" i="40"/>
  <c r="D15" i="40"/>
  <c r="B15" i="40"/>
  <c r="R14" i="40"/>
  <c r="F14" i="40"/>
  <c r="F13" i="40"/>
  <c r="K13" i="40" s="1"/>
  <c r="F12" i="40"/>
  <c r="K12" i="40" s="1"/>
  <c r="L8" i="40"/>
  <c r="J8" i="40"/>
  <c r="G8" i="40"/>
  <c r="D8" i="40"/>
  <c r="G48" i="4" s="1"/>
  <c r="B8" i="40"/>
  <c r="O7" i="40"/>
  <c r="F7" i="40"/>
  <c r="K7" i="40" s="1"/>
  <c r="F6" i="40"/>
  <c r="K6" i="40" s="1"/>
  <c r="F5" i="40"/>
  <c r="K5" i="40" s="1"/>
  <c r="L50" i="39"/>
  <c r="J50" i="39"/>
  <c r="G50" i="39"/>
  <c r="O25" i="39" s="1"/>
  <c r="D50" i="39"/>
  <c r="B50" i="39"/>
  <c r="F49" i="39"/>
  <c r="K49" i="39" s="1"/>
  <c r="F48" i="39"/>
  <c r="K48" i="39" s="1"/>
  <c r="F47" i="39"/>
  <c r="K47" i="39" s="1"/>
  <c r="F46" i="39"/>
  <c r="K46" i="39" s="1"/>
  <c r="L42" i="39"/>
  <c r="J42" i="39"/>
  <c r="G42" i="39"/>
  <c r="D42" i="39"/>
  <c r="B42" i="39"/>
  <c r="F41" i="39"/>
  <c r="K41" i="39" s="1"/>
  <c r="F40" i="39"/>
  <c r="K40" i="39" s="1"/>
  <c r="F39" i="39"/>
  <c r="K39" i="39" s="1"/>
  <c r="L36" i="39"/>
  <c r="J36" i="39"/>
  <c r="G36" i="39"/>
  <c r="D36" i="39"/>
  <c r="B36" i="39"/>
  <c r="F35" i="39"/>
  <c r="K35" i="39" s="1"/>
  <c r="F34" i="39"/>
  <c r="K34" i="39" s="1"/>
  <c r="F33" i="39"/>
  <c r="L28" i="39"/>
  <c r="J28" i="39"/>
  <c r="G28" i="39"/>
  <c r="D28" i="39"/>
  <c r="B28" i="39"/>
  <c r="F27" i="39"/>
  <c r="K27" i="39" s="1"/>
  <c r="F26" i="39"/>
  <c r="K26" i="39" s="1"/>
  <c r="F25" i="39"/>
  <c r="K25" i="39" s="1"/>
  <c r="L22" i="39"/>
  <c r="J22" i="39"/>
  <c r="G22" i="39"/>
  <c r="D22" i="39"/>
  <c r="B22" i="39"/>
  <c r="F21" i="39"/>
  <c r="K21" i="39" s="1"/>
  <c r="O20" i="39"/>
  <c r="F20" i="39"/>
  <c r="K20" i="39" s="1"/>
  <c r="R19" i="39"/>
  <c r="F19" i="39"/>
  <c r="O15" i="39"/>
  <c r="L15" i="39"/>
  <c r="J15" i="39"/>
  <c r="G15" i="39"/>
  <c r="D15" i="39"/>
  <c r="B15" i="39"/>
  <c r="R14" i="39"/>
  <c r="F14" i="39"/>
  <c r="K14" i="39" s="1"/>
  <c r="F13" i="39"/>
  <c r="F12" i="39"/>
  <c r="K12" i="39" s="1"/>
  <c r="L8" i="39"/>
  <c r="J8" i="39"/>
  <c r="G8" i="39"/>
  <c r="D8" i="39"/>
  <c r="B8" i="39"/>
  <c r="O7" i="39"/>
  <c r="F7" i="39"/>
  <c r="K7" i="39" s="1"/>
  <c r="F6" i="39"/>
  <c r="K6" i="39" s="1"/>
  <c r="F5" i="39"/>
  <c r="K5" i="39" s="1"/>
  <c r="L50" i="38"/>
  <c r="J50" i="38"/>
  <c r="G50" i="38"/>
  <c r="O25" i="38" s="1"/>
  <c r="D50" i="38"/>
  <c r="B50" i="38"/>
  <c r="F49" i="38"/>
  <c r="K49" i="38" s="1"/>
  <c r="F48" i="38"/>
  <c r="K48" i="38" s="1"/>
  <c r="F47" i="38"/>
  <c r="F46" i="38"/>
  <c r="K46" i="38" s="1"/>
  <c r="L42" i="38"/>
  <c r="J42" i="38"/>
  <c r="G42" i="38"/>
  <c r="D42" i="38"/>
  <c r="B42" i="38"/>
  <c r="F41" i="38"/>
  <c r="K41" i="38" s="1"/>
  <c r="F40" i="38"/>
  <c r="K40" i="38" s="1"/>
  <c r="F39" i="38"/>
  <c r="K39" i="38" s="1"/>
  <c r="L36" i="38"/>
  <c r="J36" i="38"/>
  <c r="G36" i="38"/>
  <c r="D36" i="38"/>
  <c r="B36" i="38"/>
  <c r="F35" i="38"/>
  <c r="K35" i="38" s="1"/>
  <c r="F34" i="38"/>
  <c r="K34" i="38" s="1"/>
  <c r="F33" i="38"/>
  <c r="L28" i="38"/>
  <c r="J28" i="38"/>
  <c r="G28" i="38"/>
  <c r="D28" i="38"/>
  <c r="B28" i="38"/>
  <c r="F27" i="38"/>
  <c r="K27" i="38" s="1"/>
  <c r="F26" i="38"/>
  <c r="K26" i="38" s="1"/>
  <c r="F25" i="38"/>
  <c r="K25" i="38" s="1"/>
  <c r="L22" i="38"/>
  <c r="J22" i="38"/>
  <c r="G22" i="38"/>
  <c r="D22" i="38"/>
  <c r="B22" i="38"/>
  <c r="F21" i="38"/>
  <c r="K21" i="38" s="1"/>
  <c r="O20" i="38"/>
  <c r="F20" i="38"/>
  <c r="K20" i="38" s="1"/>
  <c r="R19" i="38"/>
  <c r="F19" i="38"/>
  <c r="O15" i="38"/>
  <c r="L15" i="38"/>
  <c r="J15" i="38"/>
  <c r="G15" i="38"/>
  <c r="D15" i="38"/>
  <c r="B15" i="38"/>
  <c r="R14" i="38"/>
  <c r="F14" i="38"/>
  <c r="F13" i="38"/>
  <c r="K13" i="38" s="1"/>
  <c r="F12" i="38"/>
  <c r="K12" i="38" s="1"/>
  <c r="L8" i="38"/>
  <c r="J8" i="38"/>
  <c r="G8" i="38"/>
  <c r="D8" i="38"/>
  <c r="B8" i="38"/>
  <c r="O7" i="38"/>
  <c r="F7" i="38"/>
  <c r="K7" i="38" s="1"/>
  <c r="F6" i="38"/>
  <c r="K6" i="38" s="1"/>
  <c r="F5" i="38"/>
  <c r="K5" i="38" s="1"/>
  <c r="L50" i="37"/>
  <c r="J50" i="37"/>
  <c r="G50" i="37"/>
  <c r="O25" i="37" s="1"/>
  <c r="D50" i="37"/>
  <c r="B50" i="37"/>
  <c r="F49" i="37"/>
  <c r="K49" i="37" s="1"/>
  <c r="F48" i="37"/>
  <c r="K48" i="37" s="1"/>
  <c r="F47" i="37"/>
  <c r="K47" i="37" s="1"/>
  <c r="F46" i="37"/>
  <c r="K46" i="37" s="1"/>
  <c r="L42" i="37"/>
  <c r="J42" i="37"/>
  <c r="G42" i="37"/>
  <c r="D42" i="37"/>
  <c r="B42" i="37"/>
  <c r="F41" i="37"/>
  <c r="K41" i="37" s="1"/>
  <c r="F40" i="37"/>
  <c r="K40" i="37" s="1"/>
  <c r="F39" i="37"/>
  <c r="K39" i="37" s="1"/>
  <c r="L36" i="37"/>
  <c r="G36" i="37"/>
  <c r="D36" i="37"/>
  <c r="B36" i="37"/>
  <c r="F35" i="37"/>
  <c r="K35" i="37" s="1"/>
  <c r="F34" i="37"/>
  <c r="K34" i="37" s="1"/>
  <c r="F33" i="37"/>
  <c r="L28" i="37"/>
  <c r="J28" i="37"/>
  <c r="G28" i="37"/>
  <c r="D28" i="37"/>
  <c r="B28" i="37"/>
  <c r="F27" i="37"/>
  <c r="K27" i="37" s="1"/>
  <c r="F26" i="37"/>
  <c r="K26" i="37" s="1"/>
  <c r="F25" i="37"/>
  <c r="L22" i="37"/>
  <c r="J22" i="37"/>
  <c r="G22" i="37"/>
  <c r="D22" i="37"/>
  <c r="B22" i="37"/>
  <c r="F21" i="37"/>
  <c r="K21" i="37" s="1"/>
  <c r="O20" i="37"/>
  <c r="F20" i="37"/>
  <c r="R19" i="37"/>
  <c r="F19" i="37"/>
  <c r="K19" i="37" s="1"/>
  <c r="O15" i="37"/>
  <c r="L15" i="37"/>
  <c r="J15" i="37"/>
  <c r="G15" i="37"/>
  <c r="D15" i="37"/>
  <c r="B15" i="37"/>
  <c r="R14" i="37"/>
  <c r="F14" i="37"/>
  <c r="K14" i="37" s="1"/>
  <c r="F13" i="37"/>
  <c r="K13" i="37" s="1"/>
  <c r="F12" i="37"/>
  <c r="L8" i="37"/>
  <c r="J8" i="37"/>
  <c r="G8" i="37"/>
  <c r="D8" i="37"/>
  <c r="B8" i="37"/>
  <c r="O7" i="37"/>
  <c r="F7" i="37"/>
  <c r="K7" i="37" s="1"/>
  <c r="F6" i="37"/>
  <c r="K6" i="37" s="1"/>
  <c r="F5" i="37"/>
  <c r="K5" i="37" s="1"/>
  <c r="N57" i="4"/>
  <c r="M57" i="4"/>
  <c r="N56" i="4"/>
  <c r="M56" i="4"/>
  <c r="N55" i="4"/>
  <c r="M55" i="4"/>
  <c r="N54" i="4"/>
  <c r="M54" i="4"/>
  <c r="N53" i="4"/>
  <c r="M53" i="4"/>
  <c r="H85" i="49"/>
  <c r="H84" i="49"/>
  <c r="H83" i="49"/>
  <c r="H82" i="49"/>
  <c r="H81" i="49"/>
  <c r="H80" i="49"/>
  <c r="H79" i="49"/>
  <c r="H78" i="49"/>
  <c r="H77" i="49"/>
  <c r="H76" i="49"/>
  <c r="H75" i="49"/>
  <c r="H74" i="49"/>
  <c r="H73" i="49"/>
  <c r="H72" i="49"/>
  <c r="H71" i="49"/>
  <c r="H70" i="49"/>
  <c r="H69" i="49"/>
  <c r="H68" i="49"/>
  <c r="B24" i="49"/>
  <c r="H85" i="48"/>
  <c r="H84" i="48"/>
  <c r="H83" i="48"/>
  <c r="H82" i="48"/>
  <c r="H81" i="48"/>
  <c r="H80" i="48"/>
  <c r="H79" i="48"/>
  <c r="H78" i="48"/>
  <c r="H77" i="48"/>
  <c r="H76" i="48"/>
  <c r="H75" i="48"/>
  <c r="H74" i="48"/>
  <c r="H73" i="48"/>
  <c r="H72" i="48"/>
  <c r="H71" i="48"/>
  <c r="H70" i="48"/>
  <c r="H69" i="48"/>
  <c r="H68" i="48"/>
  <c r="B24" i="48"/>
  <c r="H85" i="47"/>
  <c r="H84" i="47"/>
  <c r="H83" i="47"/>
  <c r="H82" i="47"/>
  <c r="H81" i="47"/>
  <c r="H80" i="47"/>
  <c r="H79" i="47"/>
  <c r="H78" i="47"/>
  <c r="H77" i="47"/>
  <c r="H76" i="47"/>
  <c r="H75" i="47"/>
  <c r="H74" i="47"/>
  <c r="H73" i="47"/>
  <c r="H72" i="47"/>
  <c r="H71" i="47"/>
  <c r="H70" i="47"/>
  <c r="H69" i="47"/>
  <c r="H68" i="47"/>
  <c r="B24" i="47"/>
  <c r="H85" i="46"/>
  <c r="H84" i="46"/>
  <c r="H83" i="46"/>
  <c r="H82" i="46"/>
  <c r="H81" i="46"/>
  <c r="H80" i="46"/>
  <c r="H79" i="46"/>
  <c r="H78" i="46"/>
  <c r="H77" i="46"/>
  <c r="H76" i="46"/>
  <c r="H75" i="46"/>
  <c r="H74" i="46"/>
  <c r="H73" i="46"/>
  <c r="H72" i="46"/>
  <c r="H71" i="46"/>
  <c r="H70" i="46"/>
  <c r="H69" i="46"/>
  <c r="H68" i="46"/>
  <c r="B24" i="46"/>
  <c r="H85" i="45"/>
  <c r="H84" i="45"/>
  <c r="H83" i="45"/>
  <c r="H82" i="45"/>
  <c r="H81" i="45"/>
  <c r="H80" i="45"/>
  <c r="H79" i="45"/>
  <c r="H78" i="45"/>
  <c r="H77" i="45"/>
  <c r="H76" i="45"/>
  <c r="H75" i="45"/>
  <c r="H74" i="45"/>
  <c r="H73" i="45"/>
  <c r="H72" i="45"/>
  <c r="H71" i="45"/>
  <c r="H70" i="45"/>
  <c r="H69" i="45"/>
  <c r="H68" i="45"/>
  <c r="B24" i="45"/>
  <c r="H85" i="44"/>
  <c r="H84" i="44"/>
  <c r="H83" i="44"/>
  <c r="H82" i="44"/>
  <c r="H81" i="44"/>
  <c r="H80" i="44"/>
  <c r="H79" i="44"/>
  <c r="H78" i="44"/>
  <c r="H77" i="44"/>
  <c r="H76" i="44"/>
  <c r="H75" i="44"/>
  <c r="H74" i="44"/>
  <c r="H73" i="44"/>
  <c r="H72" i="44"/>
  <c r="H71" i="44"/>
  <c r="H70" i="44"/>
  <c r="H69" i="44"/>
  <c r="H68" i="44"/>
  <c r="B24" i="44"/>
  <c r="C49" i="63"/>
  <c r="D49" i="63" s="1"/>
  <c r="E49" i="63" s="1"/>
  <c r="F49" i="63" s="1"/>
  <c r="G49" i="63" s="1"/>
  <c r="H49" i="63" s="1"/>
  <c r="I49" i="63" s="1"/>
  <c r="J49" i="63" s="1"/>
  <c r="K49" i="63" s="1"/>
  <c r="L49" i="63" s="1"/>
  <c r="M49" i="63" s="1"/>
  <c r="N49" i="63" s="1"/>
  <c r="O49" i="63" s="1"/>
  <c r="P49" i="63" s="1"/>
  <c r="Q49" i="63" s="1"/>
  <c r="R49" i="63" s="1"/>
  <c r="S49" i="63" s="1"/>
  <c r="T49" i="63" s="1"/>
  <c r="U49" i="63" s="1"/>
  <c r="V49" i="63" s="1"/>
  <c r="W49" i="63" s="1"/>
  <c r="X49" i="63" s="1"/>
  <c r="F12" i="63"/>
  <c r="F48" i="63" s="1"/>
  <c r="B12" i="63"/>
  <c r="B48" i="63" s="1"/>
  <c r="B50" i="63" s="1"/>
  <c r="G12" i="63"/>
  <c r="G48" i="63" s="1"/>
  <c r="E12" i="63"/>
  <c r="E48" i="63" s="1"/>
  <c r="J9" i="38" l="1"/>
  <c r="J29" i="37"/>
  <c r="H50" i="4"/>
  <c r="J9" i="41"/>
  <c r="J51" i="38"/>
  <c r="J29" i="41"/>
  <c r="D50" i="4"/>
  <c r="G50" i="4"/>
  <c r="J16" i="40"/>
  <c r="J29" i="38"/>
  <c r="F50" i="4"/>
  <c r="J29" i="40"/>
  <c r="E50" i="4"/>
  <c r="J29" i="39"/>
  <c r="J51" i="39"/>
  <c r="J16" i="37"/>
  <c r="F48" i="4"/>
  <c r="J9" i="40"/>
  <c r="J9" i="37"/>
  <c r="E48" i="4"/>
  <c r="J9" i="39"/>
  <c r="J51" i="37"/>
  <c r="J16" i="39"/>
  <c r="J51" i="41"/>
  <c r="J16" i="41"/>
  <c r="J16" i="38"/>
  <c r="J51" i="40"/>
  <c r="R31" i="40"/>
  <c r="R31" i="41"/>
  <c r="R31" i="39"/>
  <c r="E7" i="4"/>
  <c r="R31" i="37"/>
  <c r="R31" i="38"/>
  <c r="D48" i="4"/>
  <c r="Y49" i="63"/>
  <c r="X50" i="63"/>
  <c r="F22" i="38"/>
  <c r="F15" i="39"/>
  <c r="F15" i="40"/>
  <c r="K13" i="39"/>
  <c r="K15" i="39" s="1"/>
  <c r="F22" i="41"/>
  <c r="F22" i="39"/>
  <c r="F15" i="37"/>
  <c r="F22" i="37"/>
  <c r="F36" i="37"/>
  <c r="F8" i="40"/>
  <c r="K8" i="40" s="1"/>
  <c r="F8" i="38"/>
  <c r="K8" i="38" s="1"/>
  <c r="F50" i="38"/>
  <c r="F15" i="41"/>
  <c r="K20" i="37"/>
  <c r="K22" i="37" s="1"/>
  <c r="K19" i="39"/>
  <c r="K22" i="39" s="1"/>
  <c r="K14" i="40"/>
  <c r="K15" i="40" s="1"/>
  <c r="F8" i="41"/>
  <c r="K8" i="41" s="1"/>
  <c r="K28" i="39"/>
  <c r="F8" i="37"/>
  <c r="K8" i="37" s="1"/>
  <c r="F15" i="38"/>
  <c r="F8" i="39"/>
  <c r="K8" i="39" s="1"/>
  <c r="F28" i="39"/>
  <c r="F28" i="40"/>
  <c r="F36" i="40"/>
  <c r="F36" i="41"/>
  <c r="K50" i="37"/>
  <c r="F28" i="38"/>
  <c r="F36" i="38"/>
  <c r="K50" i="39"/>
  <c r="K28" i="40"/>
  <c r="K22" i="40"/>
  <c r="K28" i="41"/>
  <c r="K42" i="41"/>
  <c r="F28" i="37"/>
  <c r="K19" i="38"/>
  <c r="K22" i="38" s="1"/>
  <c r="K42" i="38"/>
  <c r="F36" i="39"/>
  <c r="K42" i="37"/>
  <c r="K22" i="41"/>
  <c r="K50" i="41"/>
  <c r="F50" i="41"/>
  <c r="F28" i="41"/>
  <c r="K12" i="41"/>
  <c r="K15" i="41" s="1"/>
  <c r="F42" i="41"/>
  <c r="K33" i="41"/>
  <c r="K36" i="41" s="1"/>
  <c r="K42" i="40"/>
  <c r="K50" i="40"/>
  <c r="F50" i="40"/>
  <c r="F22" i="40"/>
  <c r="F42" i="40"/>
  <c r="K33" i="40"/>
  <c r="K36" i="40" s="1"/>
  <c r="K42" i="39"/>
  <c r="F50" i="39"/>
  <c r="F42" i="39"/>
  <c r="K33" i="39"/>
  <c r="K36" i="39" s="1"/>
  <c r="K28" i="38"/>
  <c r="K47" i="38"/>
  <c r="K50" i="38" s="1"/>
  <c r="K14" i="38"/>
  <c r="K15" i="38" s="1"/>
  <c r="F42" i="38"/>
  <c r="K33" i="38"/>
  <c r="K36" i="38" s="1"/>
  <c r="K25" i="37"/>
  <c r="K28" i="37" s="1"/>
  <c r="F50" i="37"/>
  <c r="K12" i="37"/>
  <c r="K15" i="37" s="1"/>
  <c r="F42" i="37"/>
  <c r="K33" i="37"/>
  <c r="K36" i="37" s="1"/>
  <c r="F50" i="63"/>
  <c r="E50" i="63"/>
  <c r="H12" i="63"/>
  <c r="H48" i="63" s="1"/>
  <c r="H50" i="63" s="1"/>
  <c r="G50" i="63"/>
  <c r="C12" i="63"/>
  <c r="C48" i="63" s="1"/>
  <c r="C50" i="63" s="1"/>
  <c r="R24" i="38" l="1"/>
  <c r="R25" i="38" s="1"/>
  <c r="R24" i="40"/>
  <c r="R25" i="40" s="1"/>
  <c r="G47" i="4"/>
  <c r="H47" i="4"/>
  <c r="R24" i="37"/>
  <c r="R24" i="41"/>
  <c r="R25" i="41" s="1"/>
  <c r="R24" i="39"/>
  <c r="R25" i="39" s="1"/>
  <c r="F47" i="4"/>
  <c r="D47" i="4"/>
  <c r="E47" i="4"/>
  <c r="R25" i="37"/>
  <c r="E10" i="4"/>
  <c r="E11" i="4"/>
  <c r="E8" i="4"/>
  <c r="E9" i="4"/>
  <c r="O31" i="41"/>
  <c r="R28" i="41" s="1"/>
  <c r="O31" i="39"/>
  <c r="R28" i="39" s="1"/>
  <c r="O31" i="40"/>
  <c r="R28" i="40" s="1"/>
  <c r="O31" i="37"/>
  <c r="R28" i="37" s="1"/>
  <c r="R29" i="37" s="1"/>
  <c r="O31" i="38"/>
  <c r="R28" i="38" s="1"/>
  <c r="Z49" i="63"/>
  <c r="Y50" i="63"/>
  <c r="I12" i="63"/>
  <c r="I48" i="63" s="1"/>
  <c r="I50" i="63" s="1"/>
  <c r="D12" i="63"/>
  <c r="D48" i="63" s="1"/>
  <c r="D50" i="63" s="1"/>
  <c r="R29" i="40" l="1"/>
  <c r="R29" i="38"/>
  <c r="R29" i="39"/>
  <c r="R29" i="41"/>
  <c r="AA49" i="63"/>
  <c r="Z50" i="63"/>
  <c r="J12" i="63"/>
  <c r="J48" i="63" s="1"/>
  <c r="J50" i="63" s="1"/>
  <c r="AB49" i="63" l="1"/>
  <c r="AA50" i="63"/>
  <c r="K12" i="63"/>
  <c r="K48" i="63" s="1"/>
  <c r="K50" i="63" s="1"/>
  <c r="AC49" i="63" l="1"/>
  <c r="AB50" i="63"/>
  <c r="L12" i="63"/>
  <c r="L48" i="63" s="1"/>
  <c r="L50" i="63" s="1"/>
  <c r="AD49" i="63" l="1"/>
  <c r="AC50" i="63"/>
  <c r="M12" i="63"/>
  <c r="M48" i="63" s="1"/>
  <c r="M50" i="63" s="1"/>
  <c r="AE49" i="63" l="1"/>
  <c r="AD50" i="63"/>
  <c r="N12" i="63"/>
  <c r="N48" i="63" s="1"/>
  <c r="N50" i="63" s="1"/>
  <c r="AF49" i="63" l="1"/>
  <c r="AE50" i="63"/>
  <c r="O12" i="63"/>
  <c r="O48" i="63" s="1"/>
  <c r="O50" i="63" s="1"/>
  <c r="AG49" i="63" l="1"/>
  <c r="AF50" i="63"/>
  <c r="P12" i="63"/>
  <c r="P48" i="63" s="1"/>
  <c r="P50" i="63" s="1"/>
  <c r="AH49" i="63" l="1"/>
  <c r="AG50" i="63"/>
  <c r="Q12" i="63"/>
  <c r="Q48" i="63" s="1"/>
  <c r="Q50" i="63" s="1"/>
  <c r="AI49" i="63" l="1"/>
  <c r="AH50" i="63"/>
  <c r="R12" i="63"/>
  <c r="R48" i="63" s="1"/>
  <c r="R50" i="63" s="1"/>
  <c r="AJ49" i="63" l="1"/>
  <c r="AI50" i="63"/>
  <c r="S12" i="63"/>
  <c r="S48" i="63" s="1"/>
  <c r="S50" i="63" s="1"/>
  <c r="AK49" i="63" l="1"/>
  <c r="AJ50" i="63"/>
  <c r="T12" i="63"/>
  <c r="T48" i="63" s="1"/>
  <c r="T50" i="63" s="1"/>
  <c r="AL49" i="63" l="1"/>
  <c r="AK50" i="63"/>
  <c r="U12" i="63"/>
  <c r="U48" i="63" s="1"/>
  <c r="U50" i="63" s="1"/>
  <c r="AM49" i="63" l="1"/>
  <c r="AL50" i="63"/>
  <c r="V12" i="63"/>
  <c r="V48" i="63" s="1"/>
  <c r="V50" i="63" s="1"/>
  <c r="W12" i="63"/>
  <c r="W48" i="63" s="1"/>
  <c r="W50" i="63" s="1"/>
  <c r="AN49" i="63" l="1"/>
  <c r="AM50" i="63"/>
  <c r="B8" i="36"/>
  <c r="B15" i="35"/>
  <c r="B8" i="35"/>
  <c r="G15" i="35"/>
  <c r="F13" i="35"/>
  <c r="K13" i="35" s="1"/>
  <c r="L8" i="36"/>
  <c r="J8" i="36"/>
  <c r="G8" i="36"/>
  <c r="D8" i="36"/>
  <c r="F7" i="36"/>
  <c r="K7" i="36" s="1"/>
  <c r="F6" i="36"/>
  <c r="K6" i="36" s="1"/>
  <c r="F5" i="36"/>
  <c r="K5" i="36" s="1"/>
  <c r="G8" i="35"/>
  <c r="J9" i="36" l="1"/>
  <c r="AP49" i="63"/>
  <c r="AN50" i="63"/>
  <c r="F8" i="36"/>
  <c r="K8" i="36" s="1"/>
  <c r="F7" i="35"/>
  <c r="K7" i="35" s="1"/>
  <c r="F5" i="35"/>
  <c r="K5" i="35" s="1"/>
  <c r="K31" i="4" l="1"/>
  <c r="AQ49" i="63"/>
  <c r="AP50" i="63"/>
  <c r="G28" i="4"/>
  <c r="AR49" i="63" l="1"/>
  <c r="AQ50" i="63"/>
  <c r="F21" i="35"/>
  <c r="F20" i="35"/>
  <c r="F19" i="35"/>
  <c r="F14" i="35"/>
  <c r="F12" i="35"/>
  <c r="F6" i="35"/>
  <c r="K6" i="35" s="1"/>
  <c r="R14" i="35"/>
  <c r="AS49" i="63" l="1"/>
  <c r="AR50" i="63"/>
  <c r="F15" i="35"/>
  <c r="AT49" i="63" l="1"/>
  <c r="AS50" i="63"/>
  <c r="K8" i="51"/>
  <c r="AU49" i="63" l="1"/>
  <c r="AT50" i="63"/>
  <c r="H28" i="51"/>
  <c r="Q24" i="51"/>
  <c r="N24" i="51"/>
  <c r="K24" i="51"/>
  <c r="H24" i="51"/>
  <c r="E24" i="51"/>
  <c r="B24" i="51"/>
  <c r="K10" i="51"/>
  <c r="Q8" i="51"/>
  <c r="Q10" i="51" s="1"/>
  <c r="N8" i="51"/>
  <c r="N10" i="51" s="1"/>
  <c r="H8" i="51"/>
  <c r="H10" i="51" s="1"/>
  <c r="E8" i="51"/>
  <c r="E10" i="51" s="1"/>
  <c r="B8" i="51"/>
  <c r="B10" i="51" s="1"/>
  <c r="E40" i="62"/>
  <c r="G39" i="62"/>
  <c r="F39" i="62" s="1"/>
  <c r="G38" i="62"/>
  <c r="F38" i="62" s="1"/>
  <c r="G37" i="62"/>
  <c r="F37" i="62" s="1"/>
  <c r="G36" i="62"/>
  <c r="F36" i="62" s="1"/>
  <c r="G35" i="62"/>
  <c r="F35" i="62" s="1"/>
  <c r="G34" i="62"/>
  <c r="F34" i="62" s="1"/>
  <c r="G33" i="62"/>
  <c r="F33" i="62" s="1"/>
  <c r="G32" i="62"/>
  <c r="F32" i="62" s="1"/>
  <c r="G31" i="62"/>
  <c r="F31" i="62" s="1"/>
  <c r="G30" i="62"/>
  <c r="F30" i="62" s="1"/>
  <c r="G29" i="62"/>
  <c r="F29" i="62" s="1"/>
  <c r="G28" i="62"/>
  <c r="F28" i="62" s="1"/>
  <c r="G27" i="62"/>
  <c r="F27" i="62" s="1"/>
  <c r="G26" i="62"/>
  <c r="F26" i="62" s="1"/>
  <c r="G25" i="62"/>
  <c r="F25" i="62" s="1"/>
  <c r="G24" i="62"/>
  <c r="F24" i="62" s="1"/>
  <c r="G23" i="62"/>
  <c r="F23" i="62" s="1"/>
  <c r="G22" i="62"/>
  <c r="F22" i="62" s="1"/>
  <c r="G21" i="62"/>
  <c r="F21" i="62" s="1"/>
  <c r="G20" i="62"/>
  <c r="F20" i="62" s="1"/>
  <c r="G19" i="62"/>
  <c r="F19" i="62" s="1"/>
  <c r="G18" i="62"/>
  <c r="F18" i="62" s="1"/>
  <c r="G17" i="62"/>
  <c r="F17" i="62" s="1"/>
  <c r="G16" i="62"/>
  <c r="F16" i="62" s="1"/>
  <c r="G15" i="62"/>
  <c r="F15" i="62" s="1"/>
  <c r="F14" i="62"/>
  <c r="F13" i="62"/>
  <c r="G12" i="62"/>
  <c r="F12" i="62" s="1"/>
  <c r="F11" i="62"/>
  <c r="F10" i="62"/>
  <c r="F9" i="62"/>
  <c r="F8" i="62"/>
  <c r="F7" i="62"/>
  <c r="G6" i="62"/>
  <c r="F5" i="62"/>
  <c r="F4" i="62"/>
  <c r="C1" i="62"/>
  <c r="N52" i="4"/>
  <c r="M52" i="4"/>
  <c r="M47" i="4"/>
  <c r="D42" i="4"/>
  <c r="D41" i="4"/>
  <c r="S30" i="4"/>
  <c r="G30" i="4"/>
  <c r="F30" i="4"/>
  <c r="D30" i="4"/>
  <c r="C30" i="4"/>
  <c r="B7" i="49" s="1"/>
  <c r="B30" i="4"/>
  <c r="S29" i="4"/>
  <c r="G29" i="4"/>
  <c r="F29" i="4"/>
  <c r="D29" i="4"/>
  <c r="C29" i="4"/>
  <c r="B7" i="48" s="1"/>
  <c r="B29" i="4"/>
  <c r="S28" i="4"/>
  <c r="F28" i="4"/>
  <c r="D28" i="4"/>
  <c r="C28" i="4"/>
  <c r="B7" i="47" s="1"/>
  <c r="B28" i="4"/>
  <c r="S27" i="4"/>
  <c r="G27" i="4"/>
  <c r="F27" i="4"/>
  <c r="D27" i="4"/>
  <c r="C27" i="4"/>
  <c r="B7" i="46" s="1"/>
  <c r="B27" i="4"/>
  <c r="S26" i="4"/>
  <c r="G26" i="4"/>
  <c r="F26" i="4"/>
  <c r="D26" i="4"/>
  <c r="C26" i="4"/>
  <c r="B7" i="45" s="1"/>
  <c r="B26" i="4"/>
  <c r="S25" i="4"/>
  <c r="G25" i="4"/>
  <c r="F25" i="4"/>
  <c r="D25" i="4"/>
  <c r="C25" i="4"/>
  <c r="B25" i="4"/>
  <c r="S24" i="4"/>
  <c r="G24" i="4"/>
  <c r="F24" i="4"/>
  <c r="D24" i="4"/>
  <c r="C24" i="4"/>
  <c r="B7" i="43" s="1"/>
  <c r="B24" i="4"/>
  <c r="H3" i="4"/>
  <c r="D3" i="4"/>
  <c r="K23" i="4" s="1"/>
  <c r="C3" i="4"/>
  <c r="J23" i="4" s="1"/>
  <c r="L30" i="4"/>
  <c r="P30" i="4"/>
  <c r="O30" i="4"/>
  <c r="N30" i="4"/>
  <c r="M30" i="4"/>
  <c r="M43" i="4"/>
  <c r="L43" i="4"/>
  <c r="B19" i="49" s="1"/>
  <c r="E30" i="4"/>
  <c r="L29" i="4"/>
  <c r="P29" i="4"/>
  <c r="O29" i="4"/>
  <c r="N29" i="4"/>
  <c r="M42" i="4"/>
  <c r="L42" i="4"/>
  <c r="B19" i="48" s="1"/>
  <c r="E29" i="4"/>
  <c r="J10" i="4"/>
  <c r="L28" i="4"/>
  <c r="P28" i="4"/>
  <c r="O28" i="4"/>
  <c r="N28" i="4"/>
  <c r="M41" i="4"/>
  <c r="H28" i="4"/>
  <c r="L41" i="4"/>
  <c r="B19" i="47" s="1"/>
  <c r="E28" i="4"/>
  <c r="J9" i="4"/>
  <c r="L27" i="4"/>
  <c r="P27" i="4"/>
  <c r="O27" i="4"/>
  <c r="N27" i="4"/>
  <c r="M27" i="4"/>
  <c r="M40" i="4"/>
  <c r="L40" i="4"/>
  <c r="B19" i="46" s="1"/>
  <c r="E27" i="4"/>
  <c r="J8" i="4"/>
  <c r="L26" i="4"/>
  <c r="P26" i="4"/>
  <c r="O26" i="4"/>
  <c r="N26" i="4"/>
  <c r="M26" i="4"/>
  <c r="M39" i="4"/>
  <c r="L39" i="4"/>
  <c r="E26" i="4"/>
  <c r="J7" i="4"/>
  <c r="L50" i="36"/>
  <c r="J50" i="36"/>
  <c r="G50" i="36"/>
  <c r="O25" i="36" s="1"/>
  <c r="D50" i="36"/>
  <c r="B50" i="36"/>
  <c r="F49" i="36"/>
  <c r="K49" i="36" s="1"/>
  <c r="F48" i="36"/>
  <c r="K48" i="36" s="1"/>
  <c r="F47" i="36"/>
  <c r="K47" i="36" s="1"/>
  <c r="F46" i="36"/>
  <c r="L42" i="36"/>
  <c r="J42" i="36"/>
  <c r="G42" i="36"/>
  <c r="D42" i="36"/>
  <c r="B42" i="36"/>
  <c r="F41" i="36"/>
  <c r="K41" i="36" s="1"/>
  <c r="F40" i="36"/>
  <c r="K40" i="36" s="1"/>
  <c r="F39" i="36"/>
  <c r="K39" i="36" s="1"/>
  <c r="L36" i="36"/>
  <c r="J36" i="36"/>
  <c r="G36" i="36"/>
  <c r="D36" i="36"/>
  <c r="B36" i="36"/>
  <c r="F35" i="36"/>
  <c r="K35" i="36" s="1"/>
  <c r="F34" i="36"/>
  <c r="K34" i="36" s="1"/>
  <c r="F33" i="36"/>
  <c r="L28" i="36"/>
  <c r="J28" i="36"/>
  <c r="G28" i="36"/>
  <c r="D28" i="36"/>
  <c r="B28" i="36"/>
  <c r="F27" i="36"/>
  <c r="K27" i="36" s="1"/>
  <c r="F26" i="36"/>
  <c r="K26" i="36" s="1"/>
  <c r="F25" i="36"/>
  <c r="K25" i="36" s="1"/>
  <c r="L22" i="36"/>
  <c r="J22" i="36"/>
  <c r="G22" i="36"/>
  <c r="D22" i="36"/>
  <c r="B22" i="36"/>
  <c r="F21" i="36"/>
  <c r="K21" i="36" s="1"/>
  <c r="O20" i="36"/>
  <c r="M38" i="4" s="1"/>
  <c r="F20" i="36"/>
  <c r="R19" i="36"/>
  <c r="F19" i="36"/>
  <c r="K19" i="36" s="1"/>
  <c r="O15" i="36"/>
  <c r="L38" i="4" s="1"/>
  <c r="B19" i="44" s="1"/>
  <c r="L15" i="36"/>
  <c r="J15" i="36"/>
  <c r="G15" i="36"/>
  <c r="D15" i="36"/>
  <c r="B15" i="36"/>
  <c r="R14" i="36"/>
  <c r="E25" i="4" s="1"/>
  <c r="F14" i="36"/>
  <c r="K14" i="36" s="1"/>
  <c r="F13" i="36"/>
  <c r="K13" i="36" s="1"/>
  <c r="F12" i="36"/>
  <c r="K12" i="36" s="1"/>
  <c r="O7" i="36"/>
  <c r="J6" i="4" s="1"/>
  <c r="L3" i="36"/>
  <c r="A2" i="44" s="1"/>
  <c r="H85" i="43"/>
  <c r="H84" i="43"/>
  <c r="H83" i="43"/>
  <c r="H82" i="43"/>
  <c r="H81" i="43"/>
  <c r="H80" i="43"/>
  <c r="H79" i="43"/>
  <c r="H78" i="43"/>
  <c r="H77" i="43"/>
  <c r="H76" i="43"/>
  <c r="H75" i="43"/>
  <c r="H74" i="43"/>
  <c r="H73" i="43"/>
  <c r="H72" i="43"/>
  <c r="H71" i="43"/>
  <c r="H70" i="43"/>
  <c r="H69" i="43"/>
  <c r="H68" i="43"/>
  <c r="B24" i="43"/>
  <c r="A2" i="43"/>
  <c r="L50" i="35"/>
  <c r="J50" i="35"/>
  <c r="J51" i="35" s="1"/>
  <c r="G50" i="35"/>
  <c r="O25" i="35" s="1"/>
  <c r="D50" i="35"/>
  <c r="B50" i="35"/>
  <c r="F49" i="35"/>
  <c r="K49" i="35" s="1"/>
  <c r="F48" i="35"/>
  <c r="K48" i="35" s="1"/>
  <c r="F47" i="35"/>
  <c r="K47" i="35" s="1"/>
  <c r="F46" i="35"/>
  <c r="L42" i="35"/>
  <c r="J42" i="35"/>
  <c r="G42" i="35"/>
  <c r="D42" i="35"/>
  <c r="B42" i="35"/>
  <c r="F41" i="35"/>
  <c r="K41" i="35" s="1"/>
  <c r="F40" i="35"/>
  <c r="K40" i="35" s="1"/>
  <c r="F39" i="35"/>
  <c r="K39" i="35" s="1"/>
  <c r="L36" i="35"/>
  <c r="J36" i="35"/>
  <c r="G36" i="35"/>
  <c r="D36" i="35"/>
  <c r="B36" i="35"/>
  <c r="F35" i="35"/>
  <c r="K35" i="35" s="1"/>
  <c r="F34" i="35"/>
  <c r="K34" i="35" s="1"/>
  <c r="F33" i="35"/>
  <c r="L28" i="35"/>
  <c r="J28" i="35"/>
  <c r="G28" i="35"/>
  <c r="D28" i="35"/>
  <c r="B28" i="35"/>
  <c r="F27" i="35"/>
  <c r="K27" i="35" s="1"/>
  <c r="F26" i="35"/>
  <c r="K26" i="35" s="1"/>
  <c r="F25" i="35"/>
  <c r="K25" i="35" s="1"/>
  <c r="L22" i="35"/>
  <c r="J22" i="35"/>
  <c r="G22" i="35"/>
  <c r="D22" i="35"/>
  <c r="B22" i="35"/>
  <c r="K21" i="35"/>
  <c r="O20" i="35"/>
  <c r="M37" i="4" s="1"/>
  <c r="K20" i="35"/>
  <c r="R19" i="35"/>
  <c r="I5" i="4" s="1"/>
  <c r="O15" i="35"/>
  <c r="L37" i="4" s="1"/>
  <c r="B19" i="43" s="1"/>
  <c r="L15" i="35"/>
  <c r="J15" i="35"/>
  <c r="J16" i="35" s="1"/>
  <c r="D15" i="35"/>
  <c r="E24" i="4"/>
  <c r="K14" i="35"/>
  <c r="L8" i="35"/>
  <c r="J8" i="35"/>
  <c r="J9" i="35" s="1"/>
  <c r="D8" i="35"/>
  <c r="O7" i="35"/>
  <c r="J5" i="4" s="1"/>
  <c r="F8" i="35"/>
  <c r="J29" i="36" l="1"/>
  <c r="E19" i="4"/>
  <c r="E20" i="4" s="1"/>
  <c r="B50" i="4"/>
  <c r="C50" i="4"/>
  <c r="C48" i="4"/>
  <c r="M24" i="4"/>
  <c r="J16" i="36"/>
  <c r="D6" i="4" s="1"/>
  <c r="G7" i="44" s="1"/>
  <c r="O24" i="4"/>
  <c r="F5" i="4"/>
  <c r="J51" i="36"/>
  <c r="B48" i="4"/>
  <c r="C19" i="4"/>
  <c r="C20" i="4" s="1"/>
  <c r="R31" i="36"/>
  <c r="O25" i="4"/>
  <c r="R31" i="35"/>
  <c r="S31" i="4"/>
  <c r="C5" i="4"/>
  <c r="K8" i="35"/>
  <c r="H19" i="4"/>
  <c r="H20" i="4" s="1"/>
  <c r="M25" i="4"/>
  <c r="N25" i="4"/>
  <c r="N24" i="4"/>
  <c r="P25" i="4"/>
  <c r="P24" i="4"/>
  <c r="J12" i="4"/>
  <c r="K26" i="51"/>
  <c r="AV49" i="63"/>
  <c r="AU50" i="63"/>
  <c r="H5" i="4"/>
  <c r="B6" i="44"/>
  <c r="B28" i="44" s="1"/>
  <c r="B40" i="44"/>
  <c r="B40" i="48"/>
  <c r="B6" i="49"/>
  <c r="B28" i="49" s="1"/>
  <c r="B40" i="49"/>
  <c r="B6" i="46"/>
  <c r="B28" i="46" s="1"/>
  <c r="B40" i="46"/>
  <c r="B40" i="45"/>
  <c r="B6" i="47"/>
  <c r="B28" i="47" s="1"/>
  <c r="B40" i="47"/>
  <c r="L24" i="4"/>
  <c r="M28" i="4"/>
  <c r="M29" i="4"/>
  <c r="D5" i="4"/>
  <c r="H26" i="51"/>
  <c r="O55" i="4"/>
  <c r="F36" i="35"/>
  <c r="I9" i="4"/>
  <c r="B8" i="47" s="1"/>
  <c r="C7" i="44"/>
  <c r="F19" i="4"/>
  <c r="F20" i="4" s="1"/>
  <c r="C10" i="4"/>
  <c r="G6" i="48" s="1"/>
  <c r="H10" i="4"/>
  <c r="B18" i="48" s="1"/>
  <c r="C9" i="4"/>
  <c r="G6" i="47" s="1"/>
  <c r="H9" i="4"/>
  <c r="B18" i="47" s="1"/>
  <c r="C8" i="4"/>
  <c r="G6" i="46" s="1"/>
  <c r="H8" i="4"/>
  <c r="B18" i="46" s="1"/>
  <c r="C7" i="4"/>
  <c r="G6" i="45" s="1"/>
  <c r="D19" i="4"/>
  <c r="D20" i="4" s="1"/>
  <c r="F50" i="36"/>
  <c r="O58" i="4"/>
  <c r="C7" i="45"/>
  <c r="O54" i="4"/>
  <c r="O56" i="4"/>
  <c r="B40" i="43"/>
  <c r="B6" i="45"/>
  <c r="B28" i="45" s="1"/>
  <c r="C7" i="47"/>
  <c r="D31" i="4"/>
  <c r="D33" i="4" s="1"/>
  <c r="C6" i="44"/>
  <c r="C7" i="49"/>
  <c r="F6" i="4"/>
  <c r="G9" i="44" s="1"/>
  <c r="K42" i="36"/>
  <c r="F9" i="4"/>
  <c r="G9" i="47" s="1"/>
  <c r="F36" i="36"/>
  <c r="K33" i="36"/>
  <c r="K36" i="36" s="1"/>
  <c r="D7" i="4"/>
  <c r="G7" i="45" s="1"/>
  <c r="F7" i="4"/>
  <c r="G9" i="45" s="1"/>
  <c r="D8" i="4"/>
  <c r="G7" i="46" s="1"/>
  <c r="D10" i="4"/>
  <c r="G7" i="48" s="1"/>
  <c r="F15" i="36"/>
  <c r="H11" i="4"/>
  <c r="B18" i="49" s="1"/>
  <c r="B31" i="4"/>
  <c r="G31" i="4"/>
  <c r="G33" i="4" s="1"/>
  <c r="C6" i="4"/>
  <c r="F22" i="36"/>
  <c r="F28" i="36"/>
  <c r="B7" i="44"/>
  <c r="H7" i="4"/>
  <c r="B18" i="45" s="1"/>
  <c r="F8" i="4"/>
  <c r="G9" i="46" s="1"/>
  <c r="C7" i="46"/>
  <c r="F11" i="4"/>
  <c r="G9" i="49" s="1"/>
  <c r="C31" i="4"/>
  <c r="C33" i="4" s="1"/>
  <c r="O53" i="4"/>
  <c r="E26" i="51"/>
  <c r="E28" i="51" s="1"/>
  <c r="Q26" i="51"/>
  <c r="K19" i="35"/>
  <c r="K22" i="35" s="1"/>
  <c r="C6" i="47"/>
  <c r="F50" i="35"/>
  <c r="C7" i="48"/>
  <c r="K42" i="35"/>
  <c r="F28" i="35"/>
  <c r="C19" i="46"/>
  <c r="B6" i="43"/>
  <c r="B28" i="43" s="1"/>
  <c r="C6" i="45"/>
  <c r="C6" i="46"/>
  <c r="K15" i="36"/>
  <c r="O43" i="4"/>
  <c r="O39" i="4"/>
  <c r="O38" i="4"/>
  <c r="M44" i="4"/>
  <c r="O47" i="4" s="1"/>
  <c r="O37" i="4"/>
  <c r="O41" i="4"/>
  <c r="O40" i="4"/>
  <c r="O42" i="4"/>
  <c r="K28" i="36"/>
  <c r="F42" i="35"/>
  <c r="H30" i="4"/>
  <c r="I11" i="4"/>
  <c r="B8" i="49" s="1"/>
  <c r="C19" i="49"/>
  <c r="L44" i="4"/>
  <c r="C19" i="47"/>
  <c r="H24" i="4"/>
  <c r="F22" i="35"/>
  <c r="K28" i="35"/>
  <c r="K33" i="35"/>
  <c r="K36" i="35" s="1"/>
  <c r="K46" i="35"/>
  <c r="K50" i="35" s="1"/>
  <c r="K20" i="36"/>
  <c r="K22" i="36" s="1"/>
  <c r="F42" i="36"/>
  <c r="H27" i="4"/>
  <c r="I8" i="4"/>
  <c r="B8" i="46" s="1"/>
  <c r="F10" i="4"/>
  <c r="G9" i="48" s="1"/>
  <c r="C19" i="48"/>
  <c r="H26" i="4"/>
  <c r="I7" i="4"/>
  <c r="B8" i="45" s="1"/>
  <c r="K12" i="35"/>
  <c r="K15" i="35" s="1"/>
  <c r="K46" i="36"/>
  <c r="K50" i="36" s="1"/>
  <c r="C19" i="44"/>
  <c r="B19" i="45"/>
  <c r="D9" i="4"/>
  <c r="G7" i="47" s="1"/>
  <c r="C11" i="4"/>
  <c r="E31" i="4"/>
  <c r="E33" i="4" s="1"/>
  <c r="H25" i="4"/>
  <c r="I6" i="4"/>
  <c r="B8" i="44" s="1"/>
  <c r="C19" i="45"/>
  <c r="C6" i="48"/>
  <c r="C6" i="49"/>
  <c r="B6" i="48"/>
  <c r="B28" i="48" s="1"/>
  <c r="H29" i="4"/>
  <c r="I10" i="4"/>
  <c r="B8" i="48" s="1"/>
  <c r="O52" i="4"/>
  <c r="M59" i="4"/>
  <c r="N59" i="4"/>
  <c r="F31" i="4"/>
  <c r="F33" i="4" s="1"/>
  <c r="O57" i="4"/>
  <c r="F6" i="62"/>
  <c r="F40" i="62" s="1"/>
  <c r="G40" i="62"/>
  <c r="B36" i="51"/>
  <c r="N26" i="51"/>
  <c r="B26" i="51"/>
  <c r="L3" i="37"/>
  <c r="L3" i="38" s="1"/>
  <c r="L3" i="39" s="1"/>
  <c r="B12" i="64" l="1"/>
  <c r="C38" i="4"/>
  <c r="D38" i="4" s="1"/>
  <c r="R24" i="36"/>
  <c r="T28" i="4"/>
  <c r="I48" i="4"/>
  <c r="H6" i="4"/>
  <c r="B18" i="44" s="1"/>
  <c r="O31" i="35"/>
  <c r="R28" i="35" s="1"/>
  <c r="B47" i="4"/>
  <c r="C47" i="4"/>
  <c r="R24" i="35"/>
  <c r="R25" i="35" s="1"/>
  <c r="R25" i="36"/>
  <c r="E6" i="4"/>
  <c r="G8" i="44" s="1"/>
  <c r="E5" i="4"/>
  <c r="B46" i="4" s="1"/>
  <c r="B16" i="43" s="1"/>
  <c r="T24" i="4"/>
  <c r="P31" i="4"/>
  <c r="N31" i="4"/>
  <c r="O31" i="36"/>
  <c r="R28" i="36" s="1"/>
  <c r="L25" i="4"/>
  <c r="L31" i="4" s="1"/>
  <c r="G7" i="43"/>
  <c r="C12" i="4"/>
  <c r="I12" i="4"/>
  <c r="G9" i="43"/>
  <c r="F12" i="4"/>
  <c r="F21" i="4" s="1"/>
  <c r="AW49" i="63"/>
  <c r="AV50" i="63"/>
  <c r="G6" i="44"/>
  <c r="G6" i="43"/>
  <c r="T26" i="4"/>
  <c r="N7" i="4" s="1"/>
  <c r="T27" i="4"/>
  <c r="N8" i="4" s="1"/>
  <c r="G8" i="47"/>
  <c r="G5" i="47" s="1"/>
  <c r="G8" i="48"/>
  <c r="G5" i="48" s="1"/>
  <c r="G8" i="45"/>
  <c r="G5" i="45" s="1"/>
  <c r="D11" i="4"/>
  <c r="G7" i="49" s="1"/>
  <c r="T29" i="4"/>
  <c r="N10" i="4" s="1"/>
  <c r="G8" i="46"/>
  <c r="G5" i="46" s="1"/>
  <c r="Q31" i="4"/>
  <c r="B33" i="4"/>
  <c r="O31" i="4"/>
  <c r="H31" i="4"/>
  <c r="C18" i="45"/>
  <c r="B18" i="43"/>
  <c r="M31" i="4"/>
  <c r="O59" i="4"/>
  <c r="J14" i="4"/>
  <c r="J16" i="4" s="1"/>
  <c r="A2" i="45"/>
  <c r="G8" i="49"/>
  <c r="I50" i="4"/>
  <c r="G6" i="49"/>
  <c r="N9" i="4"/>
  <c r="C8" i="49"/>
  <c r="C8" i="47"/>
  <c r="C8" i="48"/>
  <c r="C8" i="45"/>
  <c r="B8" i="43"/>
  <c r="C8" i="44"/>
  <c r="C8" i="46"/>
  <c r="A2" i="46"/>
  <c r="L3" i="40"/>
  <c r="A2" i="47"/>
  <c r="H12" i="4" l="1"/>
  <c r="C18" i="49"/>
  <c r="C18" i="44"/>
  <c r="C18" i="47"/>
  <c r="C18" i="46"/>
  <c r="C21" i="4"/>
  <c r="C18" i="48"/>
  <c r="G5" i="43"/>
  <c r="G5" i="44"/>
  <c r="G5" i="49"/>
  <c r="M5" i="4"/>
  <c r="R29" i="36"/>
  <c r="R29" i="35"/>
  <c r="H21" i="4"/>
  <c r="C40" i="4"/>
  <c r="D40" i="4" s="1"/>
  <c r="G8" i="43"/>
  <c r="N5" i="4"/>
  <c r="E12" i="4"/>
  <c r="E21" i="4" s="1"/>
  <c r="T25" i="4"/>
  <c r="N6" i="4" s="1"/>
  <c r="M11" i="4"/>
  <c r="D12" i="4"/>
  <c r="D21" i="4" s="1"/>
  <c r="I14" i="4"/>
  <c r="I16" i="4" s="1"/>
  <c r="AX49" i="63"/>
  <c r="AW50" i="63"/>
  <c r="J31" i="4"/>
  <c r="M6" i="4"/>
  <c r="G46" i="4"/>
  <c r="B16" i="48" s="1"/>
  <c r="M9" i="4"/>
  <c r="F46" i="4"/>
  <c r="B16" i="47" s="1"/>
  <c r="M10" i="4"/>
  <c r="D46" i="4"/>
  <c r="B16" i="45" s="1"/>
  <c r="M7" i="4"/>
  <c r="C46" i="4"/>
  <c r="B16" i="44" s="1"/>
  <c r="T30" i="4"/>
  <c r="N11" i="4" s="1"/>
  <c r="E46" i="4"/>
  <c r="B16" i="46" s="1"/>
  <c r="M8" i="4"/>
  <c r="G14" i="4"/>
  <c r="G16" i="4" s="1"/>
  <c r="C14" i="4"/>
  <c r="C16" i="4" s="1"/>
  <c r="H14" i="4"/>
  <c r="H16" i="4" s="1"/>
  <c r="H46" i="4"/>
  <c r="B16" i="49" s="1"/>
  <c r="I47" i="4"/>
  <c r="F14" i="4"/>
  <c r="F16" i="4" s="1"/>
  <c r="A2" i="48"/>
  <c r="L3" i="41"/>
  <c r="P6" i="4" l="1"/>
  <c r="O6" i="4"/>
  <c r="P8" i="4"/>
  <c r="O8" i="4"/>
  <c r="P11" i="4"/>
  <c r="O11" i="4"/>
  <c r="J57" i="4" s="1"/>
  <c r="B14" i="64"/>
  <c r="D6" i="64" s="1"/>
  <c r="P5" i="4"/>
  <c r="P12" i="4" s="1"/>
  <c r="O5" i="4"/>
  <c r="P7" i="4"/>
  <c r="O7" i="4"/>
  <c r="P10" i="4"/>
  <c r="O10" i="4"/>
  <c r="P9" i="4"/>
  <c r="O9" i="4"/>
  <c r="T31" i="4"/>
  <c r="AY49" i="63"/>
  <c r="AX50" i="63"/>
  <c r="C16" i="45"/>
  <c r="C16" i="44"/>
  <c r="N12" i="4"/>
  <c r="D14" i="4"/>
  <c r="D16" i="4" s="1"/>
  <c r="C16" i="48"/>
  <c r="C16" i="47"/>
  <c r="C16" i="46"/>
  <c r="I46" i="4"/>
  <c r="C16" i="49"/>
  <c r="M12" i="4"/>
  <c r="M14" i="4" s="1"/>
  <c r="J56" i="4"/>
  <c r="E14" i="4"/>
  <c r="E16" i="4" s="1"/>
  <c r="P2" i="4"/>
  <c r="A3" i="64" s="1"/>
  <c r="A2" i="49"/>
  <c r="O12" i="4" l="1"/>
  <c r="C39" i="4"/>
  <c r="D39" i="4" s="1"/>
  <c r="B32" i="51"/>
  <c r="B37" i="51" s="1"/>
  <c r="A38" i="51" s="1"/>
  <c r="J54" i="4"/>
  <c r="AZ49" i="63"/>
  <c r="AY50" i="63"/>
  <c r="P14" i="4"/>
  <c r="B28" i="51"/>
  <c r="M16" i="4"/>
  <c r="A11" i="4"/>
  <c r="A10" i="4" s="1"/>
  <c r="A9" i="4" s="1"/>
  <c r="A8" i="4" s="1"/>
  <c r="A7" i="4" s="1"/>
  <c r="A6" i="4" s="1"/>
  <c r="A5" i="4" s="1"/>
  <c r="F1" i="62"/>
  <c r="BA49" i="63" l="1"/>
  <c r="AZ50" i="63"/>
  <c r="BB49" i="63" l="1"/>
  <c r="BA50" i="63"/>
  <c r="BC49" i="63" l="1"/>
  <c r="BB50" i="63"/>
  <c r="BD49" i="63" l="1"/>
  <c r="BC50" i="63"/>
  <c r="BE49" i="63" l="1"/>
  <c r="BD50" i="63"/>
  <c r="BF49" i="63" l="1"/>
  <c r="BE50" i="63"/>
  <c r="BG49" i="63" l="1"/>
  <c r="BF50" i="63"/>
  <c r="BH49" i="63" l="1"/>
  <c r="BG50" i="63"/>
  <c r="BI49" i="63" l="1"/>
  <c r="BH50" i="63"/>
  <c r="BJ49" i="63" l="1"/>
  <c r="BI50" i="63"/>
  <c r="BK49" i="63" l="1"/>
  <c r="BJ50" i="63"/>
  <c r="BL49" i="63" l="1"/>
  <c r="BK50" i="63"/>
  <c r="BM49" i="63" l="1"/>
  <c r="BM50" i="63" s="1"/>
  <c r="BL50" i="63"/>
</calcChain>
</file>

<file path=xl/sharedStrings.xml><?xml version="1.0" encoding="utf-8"?>
<sst xmlns="http://schemas.openxmlformats.org/spreadsheetml/2006/main" count="2421" uniqueCount="340">
  <si>
    <t>Republic Hotel - Daily Takings</t>
  </si>
  <si>
    <t>MONDAY</t>
  </si>
  <si>
    <t>DATE:</t>
  </si>
  <si>
    <t>SUNDRIES</t>
  </si>
  <si>
    <t>FOOD</t>
  </si>
  <si>
    <t>BISTRO</t>
  </si>
  <si>
    <t>READING</t>
  </si>
  <si>
    <t>TYRO FEE</t>
  </si>
  <si>
    <t>TIPS</t>
  </si>
  <si>
    <t>EXPECTED</t>
  </si>
  <si>
    <t>EFTPOS</t>
  </si>
  <si>
    <t>AMEX/DINER</t>
  </si>
  <si>
    <t>ME&amp;U</t>
  </si>
  <si>
    <t>CASH</t>
  </si>
  <si>
    <t>VAR (+ / -)</t>
  </si>
  <si>
    <t>ACCOUNT</t>
  </si>
  <si>
    <t>BALCONY</t>
  </si>
  <si>
    <t>TOTAL</t>
  </si>
  <si>
    <t>PUBLIC 1 / 2</t>
  </si>
  <si>
    <t>TOTALS</t>
  </si>
  <si>
    <t>BISTRO TILL</t>
  </si>
  <si>
    <t>BISTRO TOTAL</t>
  </si>
  <si>
    <t>TAB</t>
  </si>
  <si>
    <t>SPORTS BAR</t>
  </si>
  <si>
    <t>SALES</t>
  </si>
  <si>
    <t>POKIES</t>
  </si>
  <si>
    <t>TERMINAL</t>
  </si>
  <si>
    <t>CASH BOX</t>
  </si>
  <si>
    <t>EBET 1</t>
  </si>
  <si>
    <t>TICKET IN</t>
  </si>
  <si>
    <t>EBET 2</t>
  </si>
  <si>
    <t>CASH IN</t>
  </si>
  <si>
    <t>MONEY OUT</t>
  </si>
  <si>
    <t>SPORTS BAR TOTAL</t>
  </si>
  <si>
    <t>LIABILITY</t>
  </si>
  <si>
    <t>LINK AUTO</t>
  </si>
  <si>
    <t>LINK MAN</t>
  </si>
  <si>
    <t>PUBLIC 1</t>
  </si>
  <si>
    <t>C/CREDITS</t>
  </si>
  <si>
    <t>NET</t>
  </si>
  <si>
    <t>TURNOVER</t>
  </si>
  <si>
    <t>PUBLIC 2/GAMING</t>
  </si>
  <si>
    <t>RECEIPTS</t>
  </si>
  <si>
    <t>B/SHOP</t>
  </si>
  <si>
    <t>GST</t>
  </si>
  <si>
    <t>ATM</t>
  </si>
  <si>
    <t>PUBLIC 2</t>
  </si>
  <si>
    <t>ROOF TOP 1</t>
  </si>
  <si>
    <t>PUBLIC BAR TOTAL</t>
  </si>
  <si>
    <t>ROOF TOP 2</t>
  </si>
  <si>
    <t xml:space="preserve">BANKING </t>
  </si>
  <si>
    <t>TAYLORS BAR</t>
  </si>
  <si>
    <t>TAKING TIN</t>
  </si>
  <si>
    <t>TAB (ATM)</t>
  </si>
  <si>
    <t>ATM REFILL</t>
  </si>
  <si>
    <t>ATM 1</t>
  </si>
  <si>
    <t>ATM 2</t>
  </si>
  <si>
    <t>ROOF TOP TOTAL</t>
  </si>
  <si>
    <t>BOTTLE SHOP</t>
  </si>
  <si>
    <t>BOTTLE SHOP TOTAL</t>
  </si>
  <si>
    <t>BISTRO TILL TOTAL</t>
  </si>
  <si>
    <t>Republic Hotel</t>
  </si>
  <si>
    <t>Weather</t>
  </si>
  <si>
    <t>Summary</t>
  </si>
  <si>
    <t>Monday</t>
  </si>
  <si>
    <t>Bars</t>
  </si>
  <si>
    <t>Gaming Turnover</t>
  </si>
  <si>
    <t>Sports</t>
  </si>
  <si>
    <t>Gaming Gross</t>
  </si>
  <si>
    <t>Gaming Net</t>
  </si>
  <si>
    <t>Public</t>
  </si>
  <si>
    <t>Dragon Link (50K)</t>
  </si>
  <si>
    <t>Dragon Train (20K)</t>
  </si>
  <si>
    <t>Fortune Hearts (25K)</t>
  </si>
  <si>
    <t>Bistro &amp; Food Service</t>
  </si>
  <si>
    <t>Power Panther (12K)</t>
  </si>
  <si>
    <t>Day Covers</t>
  </si>
  <si>
    <t>Night Covers</t>
  </si>
  <si>
    <t>LUNCH Service Feedback</t>
  </si>
  <si>
    <t>Food</t>
  </si>
  <si>
    <t>Retail</t>
  </si>
  <si>
    <t>Dinner Service Feedback</t>
  </si>
  <si>
    <t>DAY</t>
  </si>
  <si>
    <t>MID</t>
  </si>
  <si>
    <t>CLOSE</t>
  </si>
  <si>
    <t>Bev</t>
  </si>
  <si>
    <t>Managers Name</t>
  </si>
  <si>
    <t>Day</t>
  </si>
  <si>
    <t>GAMING</t>
  </si>
  <si>
    <t>Day turnover up to 6pm</t>
  </si>
  <si>
    <t>Staff</t>
  </si>
  <si>
    <t>Evening</t>
  </si>
  <si>
    <t>How was the days trade</t>
  </si>
  <si>
    <t>Who were your big punters</t>
  </si>
  <si>
    <t>Late Night</t>
  </si>
  <si>
    <t>Large payouts/links &amp; to whom</t>
  </si>
  <si>
    <t>Night turnover after 6pm</t>
  </si>
  <si>
    <t>How was the night trade</t>
  </si>
  <si>
    <t>How much were they betting</t>
  </si>
  <si>
    <t>Sports Bar</t>
  </si>
  <si>
    <t>AUSTRAC REPORTING</t>
  </si>
  <si>
    <t>Any Suspicious Customers</t>
  </si>
  <si>
    <t>Cash In to Turnover Ratio</t>
  </si>
  <si>
    <t>Checked by</t>
  </si>
  <si>
    <t>How was day trade</t>
  </si>
  <si>
    <t>How was night trade</t>
  </si>
  <si>
    <t>Taylors Rooftop</t>
  </si>
  <si>
    <t xml:space="preserve">Feedback/Issues </t>
  </si>
  <si>
    <t>RETAIL</t>
  </si>
  <si>
    <t>WHAT'S ON</t>
  </si>
  <si>
    <t>Event name(s)</t>
  </si>
  <si>
    <t>How many people</t>
  </si>
  <si>
    <t xml:space="preserve"> </t>
  </si>
  <si>
    <t>Jackpot $</t>
  </si>
  <si>
    <t>Feedback</t>
  </si>
  <si>
    <t>FUNCTIONS</t>
  </si>
  <si>
    <t>Food Service</t>
  </si>
  <si>
    <t>Type of function</t>
  </si>
  <si>
    <t>Time</t>
  </si>
  <si>
    <t>Food served</t>
  </si>
  <si>
    <t>Portions Taken</t>
  </si>
  <si>
    <t>CASHING UP</t>
  </si>
  <si>
    <t>Enter Safe Variance Amount</t>
  </si>
  <si>
    <t>Explanation if (+/- $20)</t>
  </si>
  <si>
    <t>SECURITY</t>
  </si>
  <si>
    <t>Any issues</t>
  </si>
  <si>
    <t>Who &amp; how were guards</t>
  </si>
  <si>
    <t>COMPLIANCE</t>
  </si>
  <si>
    <t xml:space="preserve">HOURLY  </t>
  </si>
  <si>
    <t>PATRON</t>
  </si>
  <si>
    <t>ROOM</t>
  </si>
  <si>
    <t>STAR COMPLIANCE FILLED IN (Y/N)</t>
  </si>
  <si>
    <t>NUMBERS</t>
  </si>
  <si>
    <t>TEMP</t>
  </si>
  <si>
    <t>CCTV CHECK  (Y/N)</t>
  </si>
  <si>
    <t>10am</t>
  </si>
  <si>
    <t>Police visits or incidents</t>
  </si>
  <si>
    <t>11am</t>
  </si>
  <si>
    <t>OLGR visits or incidents</t>
  </si>
  <si>
    <t>12pm</t>
  </si>
  <si>
    <t>OH&amp;S</t>
  </si>
  <si>
    <t>1pm</t>
  </si>
  <si>
    <t>Any injuries?</t>
  </si>
  <si>
    <t>2pm</t>
  </si>
  <si>
    <t>Treatment provided (Sent to Dr?)</t>
  </si>
  <si>
    <t>3pm</t>
  </si>
  <si>
    <t>4pm</t>
  </si>
  <si>
    <t>5pm</t>
  </si>
  <si>
    <t>6pm</t>
  </si>
  <si>
    <t>7pm</t>
  </si>
  <si>
    <t>8pm</t>
  </si>
  <si>
    <t>9pm</t>
  </si>
  <si>
    <t>10pm</t>
  </si>
  <si>
    <t>11pm</t>
  </si>
  <si>
    <t>12am</t>
  </si>
  <si>
    <t>1am</t>
  </si>
  <si>
    <t>2am</t>
  </si>
  <si>
    <t>3am</t>
  </si>
  <si>
    <t>4am</t>
  </si>
  <si>
    <t>TUESDAY</t>
  </si>
  <si>
    <t>Tuesday</t>
  </si>
  <si>
    <t>Week to date</t>
  </si>
  <si>
    <t>WEDNESDAY</t>
  </si>
  <si>
    <t xml:space="preserve">Weather - </t>
  </si>
  <si>
    <t>Wednesday</t>
  </si>
  <si>
    <t>THURSDAY</t>
  </si>
  <si>
    <t>Thursday</t>
  </si>
  <si>
    <t>FRIDAY</t>
  </si>
  <si>
    <t>Weather -</t>
  </si>
  <si>
    <t>Friday</t>
  </si>
  <si>
    <t>SATURDAY</t>
  </si>
  <si>
    <t>Saturday</t>
  </si>
  <si>
    <t>SUNDAY</t>
  </si>
  <si>
    <t>TAB COMM</t>
  </si>
  <si>
    <t>SPORTS TOTAL</t>
  </si>
  <si>
    <t>Sunday</t>
  </si>
  <si>
    <t xml:space="preserve">                                     </t>
  </si>
  <si>
    <t xml:space="preserve">                       </t>
  </si>
  <si>
    <t xml:space="preserve">                    </t>
  </si>
  <si>
    <t xml:space="preserve">         WEEK ENDING:</t>
  </si>
  <si>
    <t>DATE</t>
  </si>
  <si>
    <t>PUBLIC</t>
  </si>
  <si>
    <t>TAYLORS</t>
  </si>
  <si>
    <t>POKIES NET</t>
  </si>
  <si>
    <t>DETAILS</t>
  </si>
  <si>
    <t>EFT/ATM</t>
  </si>
  <si>
    <t>BANKED</t>
  </si>
  <si>
    <t>MON</t>
  </si>
  <si>
    <t>TUE</t>
  </si>
  <si>
    <t>WED</t>
  </si>
  <si>
    <t>THUR</t>
  </si>
  <si>
    <t>FRI</t>
  </si>
  <si>
    <t>SAT</t>
  </si>
  <si>
    <t>SUN</t>
  </si>
  <si>
    <t>TAB COMMISSION</t>
  </si>
  <si>
    <t>GST CHECK</t>
  </si>
  <si>
    <t>BALANCE</t>
  </si>
  <si>
    <t xml:space="preserve">POS </t>
  </si>
  <si>
    <t>TYRO SURCHARGE</t>
  </si>
  <si>
    <t>TILL TOTAL</t>
  </si>
  <si>
    <t>VAR +/-</t>
  </si>
  <si>
    <t>ATM/EFTPOS</t>
  </si>
  <si>
    <t>GROSS</t>
  </si>
  <si>
    <t>PAID OUT</t>
  </si>
  <si>
    <t>LINKS</t>
  </si>
  <si>
    <t>GLOBAL</t>
  </si>
  <si>
    <t xml:space="preserve">   </t>
  </si>
  <si>
    <t>TARGETS</t>
  </si>
  <si>
    <t>CUMM DAILY</t>
  </si>
  <si>
    <t>VAR</t>
  </si>
  <si>
    <t>DEPT</t>
  </si>
  <si>
    <t>TARGET</t>
  </si>
  <si>
    <t>ACTUAL</t>
  </si>
  <si>
    <t>REASONS</t>
  </si>
  <si>
    <t>BAR</t>
  </si>
  <si>
    <t>WAGES</t>
  </si>
  <si>
    <t>AGENT FEE</t>
  </si>
  <si>
    <t>BARS</t>
  </si>
  <si>
    <t>SETTLE H.O</t>
  </si>
  <si>
    <t>TAB CHECK</t>
  </si>
  <si>
    <t>OVER/UNDER</t>
  </si>
  <si>
    <t>ACCOUNTS</t>
  </si>
  <si>
    <t>LUNCH</t>
  </si>
  <si>
    <t>DINNER</t>
  </si>
  <si>
    <t>BANKING FIGURES</t>
  </si>
  <si>
    <t>EFTPOS/ATM</t>
  </si>
  <si>
    <t xml:space="preserve">TAB </t>
  </si>
  <si>
    <t>TRADE (MO-TH)</t>
  </si>
  <si>
    <t>TRADE (FR-SU)</t>
  </si>
  <si>
    <t xml:space="preserve">            REPUBLIC  SAFE COUNT</t>
  </si>
  <si>
    <t>TIME</t>
  </si>
  <si>
    <t>Rollover</t>
  </si>
  <si>
    <t>CRT FLOAT</t>
  </si>
  <si>
    <t>ATM FLOAT</t>
  </si>
  <si>
    <t>BAR TILL FLOATS</t>
  </si>
  <si>
    <t>POKIE TILL FLOAT</t>
  </si>
  <si>
    <t>TAB TILL FLOAT</t>
  </si>
  <si>
    <t>TOTAL FLOATS</t>
  </si>
  <si>
    <t>LOOSE NOTES</t>
  </si>
  <si>
    <t xml:space="preserve">  </t>
  </si>
  <si>
    <t>50c</t>
  </si>
  <si>
    <t>20c</t>
  </si>
  <si>
    <t>10c</t>
  </si>
  <si>
    <t>5c</t>
  </si>
  <si>
    <t>LOOSE COINS</t>
  </si>
  <si>
    <t>AMEX</t>
  </si>
  <si>
    <t>PETTY CASH</t>
  </si>
  <si>
    <t>PROMOS</t>
  </si>
  <si>
    <t>CHITS</t>
  </si>
  <si>
    <t>CHEQUES</t>
  </si>
  <si>
    <t>POKIE INCREASE</t>
  </si>
  <si>
    <t>KENO INCREASE</t>
  </si>
  <si>
    <t>TAB INCREASE</t>
  </si>
  <si>
    <t>GAMING CHEQUES</t>
  </si>
  <si>
    <t>HEAD OFFICE</t>
  </si>
  <si>
    <t>CHANGE</t>
  </si>
  <si>
    <t>JT</t>
  </si>
  <si>
    <t>TAKINGS NEGATIVE</t>
  </si>
  <si>
    <t>TAB NEGATIVE</t>
  </si>
  <si>
    <t>ATM/TAB Deposit</t>
  </si>
  <si>
    <t>SAFE FLOAT</t>
  </si>
  <si>
    <t>VARIANCE</t>
  </si>
  <si>
    <t>SIGNED</t>
  </si>
  <si>
    <t>AM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</si>
  <si>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</t>
  </si>
  <si>
    <t>The Republic</t>
  </si>
  <si>
    <t>Week Ending</t>
  </si>
  <si>
    <t>Actual</t>
  </si>
  <si>
    <t>Targets</t>
  </si>
  <si>
    <t>Actual %</t>
  </si>
  <si>
    <t>Target %</t>
  </si>
  <si>
    <t>Total Labour</t>
  </si>
  <si>
    <t>Annual Leave</t>
  </si>
  <si>
    <t>Other Leave (Sick, Maternity, Workers Comp)</t>
  </si>
  <si>
    <t>Revenue Summary</t>
  </si>
  <si>
    <t>Week</t>
  </si>
  <si>
    <t>ME &amp; U</t>
  </si>
  <si>
    <t>% of Sales</t>
  </si>
  <si>
    <t>Food Sales</t>
  </si>
  <si>
    <t>Bev Sales</t>
  </si>
  <si>
    <t>Beverage</t>
  </si>
  <si>
    <t>Other</t>
  </si>
  <si>
    <t>Total Sales</t>
  </si>
  <si>
    <t>Bottle Shop/Retail</t>
  </si>
  <si>
    <t>Accommodation</t>
  </si>
  <si>
    <t>Orders</t>
  </si>
  <si>
    <t>TAB Turnover</t>
  </si>
  <si>
    <t>Customers</t>
  </si>
  <si>
    <t>TAB Commission</t>
  </si>
  <si>
    <t>ATV</t>
  </si>
  <si>
    <t>Sundries</t>
  </si>
  <si>
    <t>Total Venue Revenue</t>
  </si>
  <si>
    <t>Comments</t>
  </si>
  <si>
    <t>Labour</t>
  </si>
  <si>
    <t>Gaming</t>
  </si>
  <si>
    <t>Bottleshop</t>
  </si>
  <si>
    <t>Team Health</t>
  </si>
  <si>
    <t>The Week Ahead</t>
  </si>
  <si>
    <t>Petty Cash</t>
  </si>
  <si>
    <t>Week End:</t>
  </si>
  <si>
    <t>SUPPLIER</t>
  </si>
  <si>
    <t>PURCHSED FOR</t>
  </si>
  <si>
    <t>APPROVED BY</t>
  </si>
  <si>
    <t>Location</t>
  </si>
  <si>
    <t>Revenue</t>
  </si>
  <si>
    <t>Wage Cost</t>
  </si>
  <si>
    <t>Wage Percentage</t>
  </si>
  <si>
    <t>Bar</t>
  </si>
  <si>
    <t>Kitchen</t>
  </si>
  <si>
    <t>Management</t>
  </si>
  <si>
    <t>Total Wages</t>
  </si>
  <si>
    <t xml:space="preserve">Revenue will automatically populate. Enter in the wages from each department from the payroll report. The wgaes percentage will auto calculate </t>
  </si>
  <si>
    <t>Trade</t>
  </si>
  <si>
    <t>Keno</t>
  </si>
  <si>
    <t>Pokie Cheques</t>
  </si>
  <si>
    <t>Misc</t>
  </si>
  <si>
    <t>Cash</t>
  </si>
  <si>
    <t>Total Notes</t>
  </si>
  <si>
    <t>Coin</t>
  </si>
  <si>
    <t>Cash Total</t>
  </si>
  <si>
    <t>Cheques</t>
  </si>
  <si>
    <t>Cheque Total</t>
  </si>
  <si>
    <t>Banking Total</t>
  </si>
  <si>
    <t>Variance +/-</t>
  </si>
  <si>
    <t>EDB Ref #:</t>
  </si>
  <si>
    <t>ATM/EFT</t>
  </si>
  <si>
    <t>Gaming CHQ</t>
  </si>
  <si>
    <t>Grand Total</t>
  </si>
  <si>
    <t>No. Of Bags:</t>
  </si>
  <si>
    <t>Bistro</t>
  </si>
  <si>
    <t>Taylors</t>
  </si>
  <si>
    <t>Public Bar</t>
  </si>
  <si>
    <t>LINKS IF WON</t>
  </si>
  <si>
    <t>What Link did they win</t>
  </si>
  <si>
    <t>How much was the Link</t>
  </si>
  <si>
    <t>What machine number</t>
  </si>
  <si>
    <t>Are they a regular</t>
  </si>
  <si>
    <t>Dragon Link (90K)</t>
  </si>
  <si>
    <t>Thunder Empire (50K)</t>
  </si>
  <si>
    <t>Dragon Rush (90K)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</si>
</sst>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6" formatCode="&quot;$&quot;#,##0;[Red]\-&quot;$&quot;#,##0"/>
    <numFmt numFmtId="7" formatCode="&quot;$&quot;#,##0.00;\-&quot;$&quot;#,##0.00"/>
    <numFmt numFmtId="8" formatCode="&quot;$&quot;#,##0.00;[Red]\-&quot;$&quot;#,##0.00"/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164" formatCode="&quot;$&quot;#,##0_);\(&quot;$&quot;#,##0\)"/>
    <numFmt numFmtId="165" formatCode="&quot;$&quot;#,##0.00_);[Red]\(&quot;$&quot;#,##0.00\)"/>
    <numFmt numFmtId="166" formatCode="&quot;$&quot;#,##0.00"/>
    <numFmt numFmtId="167" formatCode="#,##0.00_ ;[Red]\-#,##0.00\ "/>
    <numFmt numFmtId="168" formatCode="0.00_ ;[Red]\-0.00\ "/>
    <numFmt numFmtId="169" formatCode="[$-F800]dddd\,\ mmmm\ dd\,\ yyyy"/>
    <numFmt numFmtId="170" formatCode="#,##0_ ;[Red]\-#,##0\ "/>
    <numFmt numFmtId="171" formatCode="#,##0.0_ ;[Red]\-#,##0.0\ "/>
    <numFmt numFmtId="172" formatCode="d/mm/yy;@"/>
    <numFmt numFmtId="173" formatCode="&quot;$&quot;#,##0"/>
    <numFmt numFmtId="174" formatCode="_([$$-409]* #,##0.00_);_([$$-409]* \(#,##0.00\);_([$$-409]* &quot;-&quot;??_);_(@_)"/>
  </numFmts>
  <fonts count="4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20"/>
      <name val="Arial"/>
      <family val="2"/>
    </font>
    <font>
      <b/>
      <sz val="11"/>
      <name val="Century Gothic"/>
      <family val="2"/>
    </font>
    <font>
      <sz val="11"/>
      <name val="Century Gothic"/>
      <family val="2"/>
    </font>
    <font>
      <sz val="11"/>
      <color indexed="10"/>
      <name val="Century Gothic"/>
      <family val="2"/>
    </font>
    <font>
      <b/>
      <sz val="11"/>
      <color rgb="FFFF0000"/>
      <name val="Century Gothic"/>
      <family val="2"/>
    </font>
    <font>
      <b/>
      <sz val="20"/>
      <name val="Century Gothic"/>
      <family val="2"/>
    </font>
    <font>
      <sz val="20"/>
      <name val="Century Gothic"/>
      <family val="2"/>
    </font>
    <font>
      <b/>
      <sz val="20"/>
      <color theme="1"/>
      <name val="Century Gothic"/>
      <family val="2"/>
    </font>
    <font>
      <sz val="20"/>
      <color theme="1"/>
      <name val="Century Gothic"/>
      <family val="2"/>
    </font>
    <font>
      <sz val="11"/>
      <color theme="1"/>
      <name val="Century Gothic"/>
      <family val="2"/>
    </font>
    <font>
      <sz val="11"/>
      <color rgb="FF000000"/>
      <name val="Century Gothic"/>
      <family val="2"/>
    </font>
    <font>
      <b/>
      <sz val="11"/>
      <color rgb="FF000000"/>
      <name val="Century Gothic"/>
      <family val="2"/>
    </font>
    <font>
      <b/>
      <sz val="11"/>
      <color theme="1"/>
      <name val="Century Gothic"/>
      <family val="2"/>
    </font>
    <font>
      <b/>
      <u/>
      <sz val="11"/>
      <color rgb="FF000000"/>
      <name val="Century Gothic"/>
      <family val="2"/>
    </font>
    <font>
      <b/>
      <u/>
      <sz val="11"/>
      <color theme="1"/>
      <name val="Century Gothic"/>
      <family val="2"/>
    </font>
    <font>
      <sz val="11"/>
      <color indexed="8"/>
      <name val="Century Gothic"/>
      <family val="2"/>
    </font>
    <font>
      <b/>
      <u/>
      <sz val="11"/>
      <color rgb="FFFF0000"/>
      <name val="Century Gothic"/>
      <family val="2"/>
    </font>
    <font>
      <sz val="11"/>
      <color rgb="FFFF0000"/>
      <name val="Century Gothic"/>
      <family val="2"/>
    </font>
    <font>
      <b/>
      <sz val="11"/>
      <color theme="0"/>
      <name val="Century Gothic"/>
      <family val="2"/>
    </font>
    <font>
      <b/>
      <u/>
      <sz val="10"/>
      <name val="Arial"/>
      <family val="2"/>
    </font>
    <font>
      <b/>
      <sz val="16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9"/>
      <name val="Century Gothic"/>
      <family val="2"/>
    </font>
    <font>
      <b/>
      <sz val="11"/>
      <color indexed="10"/>
      <name val="Century Gothic"/>
      <family val="2"/>
    </font>
    <font>
      <sz val="8"/>
      <name val="Arial"/>
      <family val="2"/>
    </font>
    <font>
      <b/>
      <sz val="11"/>
      <color indexed="8"/>
      <name val="Century Gothic"/>
      <family val="2"/>
    </font>
    <font>
      <b/>
      <sz val="12"/>
      <color theme="1"/>
      <name val="Century Gothic"/>
      <family val="2"/>
    </font>
    <font>
      <b/>
      <sz val="12"/>
      <color theme="1"/>
      <name val="Calibri"/>
      <family val="2"/>
      <scheme val="minor"/>
    </font>
    <font>
      <b/>
      <sz val="14"/>
      <name val="Century Gothic"/>
      <family val="2"/>
    </font>
    <font>
      <sz val="10"/>
      <color rgb="FF00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AEEF3"/>
        <bgColor rgb="FF000000"/>
      </patternFill>
    </fill>
  </fills>
  <borders count="92">
    <border>
      <left/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9">
    <xf numFmtId="0" fontId="0" fillId="0" borderId="0"/>
    <xf numFmtId="44" fontId="5" fillId="0" borderId="0" applyFont="0" applyFill="0" applyBorder="0" applyAlignment="0" applyProtection="0"/>
    <xf numFmtId="0" fontId="8" fillId="0" borderId="0"/>
    <xf numFmtId="0" fontId="5" fillId="0" borderId="0"/>
    <xf numFmtId="0" fontId="4" fillId="0" borderId="0"/>
    <xf numFmtId="0" fontId="3" fillId="0" borderId="0"/>
    <xf numFmtId="0" fontId="5" fillId="0" borderId="0"/>
    <xf numFmtId="0" fontId="2" fillId="0" borderId="0"/>
    <xf numFmtId="0" fontId="2" fillId="0" borderId="0"/>
  </cellStyleXfs>
  <cellXfs count="847">
    <xf numFmtId="0" fontId="0" fillId="0" borderId="0" xfId="0"/>
    <xf numFmtId="0" fontId="5" fillId="0" borderId="0" xfId="3"/>
    <xf numFmtId="0" fontId="11" fillId="0" borderId="25" xfId="3" applyFont="1" applyBorder="1"/>
    <xf numFmtId="0" fontId="11" fillId="0" borderId="0" xfId="3" applyFont="1" applyProtection="1">
      <protection locked="0"/>
    </xf>
    <xf numFmtId="0" fontId="10" fillId="0" borderId="12" xfId="3" applyFont="1" applyBorder="1"/>
    <xf numFmtId="0" fontId="11" fillId="0" borderId="0" xfId="3" applyFont="1"/>
    <xf numFmtId="0" fontId="10" fillId="0" borderId="12" xfId="3" applyFont="1" applyBorder="1" applyAlignment="1">
      <alignment horizontal="center"/>
    </xf>
    <xf numFmtId="0" fontId="7" fillId="0" borderId="12" xfId="3" applyFont="1" applyBorder="1" applyAlignment="1">
      <alignment horizontal="center"/>
    </xf>
    <xf numFmtId="0" fontId="10" fillId="0" borderId="0" xfId="3" applyFont="1" applyAlignment="1">
      <alignment horizontal="right"/>
    </xf>
    <xf numFmtId="0" fontId="10" fillId="0" borderId="0" xfId="3" applyFont="1"/>
    <xf numFmtId="0" fontId="11" fillId="0" borderId="27" xfId="3" applyFont="1" applyBorder="1"/>
    <xf numFmtId="0" fontId="11" fillId="0" borderId="23" xfId="3" applyFont="1" applyBorder="1"/>
    <xf numFmtId="0" fontId="11" fillId="0" borderId="34" xfId="3" applyFont="1" applyBorder="1"/>
    <xf numFmtId="0" fontId="11" fillId="0" borderId="26" xfId="3" applyFont="1" applyBorder="1"/>
    <xf numFmtId="0" fontId="10" fillId="0" borderId="0" xfId="0" applyFont="1"/>
    <xf numFmtId="0" fontId="11" fillId="0" borderId="0" xfId="0" applyFont="1"/>
    <xf numFmtId="0" fontId="11" fillId="0" borderId="24" xfId="0" applyFont="1" applyBorder="1"/>
    <xf numFmtId="0" fontId="11" fillId="0" borderId="25" xfId="0" applyFont="1" applyBorder="1"/>
    <xf numFmtId="0" fontId="11" fillId="0" borderId="26" xfId="0" applyFont="1" applyBorder="1"/>
    <xf numFmtId="0" fontId="11" fillId="0" borderId="13" xfId="0" applyFont="1" applyBorder="1"/>
    <xf numFmtId="0" fontId="9" fillId="0" borderId="0" xfId="3" applyFont="1" applyAlignment="1">
      <alignment horizontal="right"/>
    </xf>
    <xf numFmtId="15" fontId="6" fillId="0" borderId="0" xfId="3" applyNumberFormat="1" applyFont="1"/>
    <xf numFmtId="167" fontId="11" fillId="0" borderId="23" xfId="3" applyNumberFormat="1" applyFont="1" applyBorder="1" applyAlignment="1" applyProtection="1">
      <alignment horizontal="right"/>
      <protection locked="0"/>
    </xf>
    <xf numFmtId="167" fontId="11" fillId="0" borderId="23" xfId="3" applyNumberFormat="1" applyFont="1" applyBorder="1" applyAlignment="1" applyProtection="1">
      <alignment horizontal="center"/>
      <protection locked="0"/>
    </xf>
    <xf numFmtId="167" fontId="11" fillId="0" borderId="23" xfId="3" applyNumberFormat="1" applyFont="1" applyBorder="1"/>
    <xf numFmtId="167" fontId="11" fillId="0" borderId="15" xfId="3" applyNumberFormat="1" applyFont="1" applyBorder="1"/>
    <xf numFmtId="167" fontId="11" fillId="0" borderId="26" xfId="3" applyNumberFormat="1" applyFont="1" applyBorder="1"/>
    <xf numFmtId="167" fontId="11" fillId="0" borderId="27" xfId="3" applyNumberFormat="1" applyFont="1" applyBorder="1" applyProtection="1">
      <protection locked="0"/>
    </xf>
    <xf numFmtId="167" fontId="11" fillId="0" borderId="26" xfId="3" applyNumberFormat="1" applyFont="1" applyBorder="1" applyProtection="1">
      <protection locked="0"/>
    </xf>
    <xf numFmtId="167" fontId="11" fillId="0" borderId="6" xfId="3" applyNumberFormat="1" applyFont="1" applyBorder="1"/>
    <xf numFmtId="167" fontId="11" fillId="0" borderId="12" xfId="3" applyNumberFormat="1" applyFont="1" applyBorder="1"/>
    <xf numFmtId="167" fontId="11" fillId="0" borderId="31" xfId="3" applyNumberFormat="1" applyFont="1" applyBorder="1" applyProtection="1">
      <protection locked="0"/>
    </xf>
    <xf numFmtId="167" fontId="11" fillId="0" borderId="24" xfId="3" applyNumberFormat="1" applyFont="1" applyBorder="1"/>
    <xf numFmtId="167" fontId="11" fillId="0" borderId="41" xfId="3" applyNumberFormat="1" applyFont="1" applyBorder="1" applyAlignment="1" applyProtection="1">
      <alignment horizontal="right"/>
      <protection locked="0"/>
    </xf>
    <xf numFmtId="167" fontId="11" fillId="0" borderId="1" xfId="3" applyNumberFormat="1" applyFont="1" applyBorder="1" applyProtection="1">
      <protection locked="0"/>
    </xf>
    <xf numFmtId="167" fontId="11" fillId="0" borderId="16" xfId="3" applyNumberFormat="1" applyFont="1" applyBorder="1" applyProtection="1">
      <protection locked="0"/>
    </xf>
    <xf numFmtId="167" fontId="11" fillId="0" borderId="25" xfId="3" applyNumberFormat="1" applyFont="1" applyBorder="1"/>
    <xf numFmtId="167" fontId="11" fillId="0" borderId="40" xfId="3" applyNumberFormat="1" applyFont="1" applyBorder="1" applyProtection="1">
      <protection locked="0"/>
    </xf>
    <xf numFmtId="167" fontId="11" fillId="0" borderId="30" xfId="3" applyNumberFormat="1" applyFont="1" applyBorder="1" applyProtection="1">
      <protection locked="0"/>
    </xf>
    <xf numFmtId="167" fontId="10" fillId="0" borderId="5" xfId="3" applyNumberFormat="1" applyFont="1" applyBorder="1"/>
    <xf numFmtId="167" fontId="10" fillId="4" borderId="12" xfId="3" applyNumberFormat="1" applyFont="1" applyFill="1" applyBorder="1"/>
    <xf numFmtId="167" fontId="11" fillId="0" borderId="24" xfId="3" applyNumberFormat="1" applyFont="1" applyBorder="1" applyProtection="1">
      <protection locked="0"/>
    </xf>
    <xf numFmtId="167" fontId="11" fillId="0" borderId="28" xfId="3" applyNumberFormat="1" applyFont="1" applyBorder="1"/>
    <xf numFmtId="167" fontId="11" fillId="0" borderId="28" xfId="3" applyNumberFormat="1" applyFont="1" applyBorder="1" applyProtection="1">
      <protection locked="0"/>
    </xf>
    <xf numFmtId="167" fontId="11" fillId="0" borderId="25" xfId="3" applyNumberFormat="1" applyFont="1" applyBorder="1" applyProtection="1">
      <protection locked="0"/>
    </xf>
    <xf numFmtId="167" fontId="11" fillId="0" borderId="29" xfId="3" applyNumberFormat="1" applyFont="1" applyBorder="1"/>
    <xf numFmtId="167" fontId="11" fillId="0" borderId="29" xfId="3" applyNumberFormat="1" applyFont="1" applyBorder="1" applyProtection="1">
      <protection locked="0"/>
    </xf>
    <xf numFmtId="167" fontId="11" fillId="0" borderId="11" xfId="3" applyNumberFormat="1" applyFont="1" applyBorder="1"/>
    <xf numFmtId="167" fontId="11" fillId="0" borderId="5" xfId="3" applyNumberFormat="1" applyFont="1" applyBorder="1"/>
    <xf numFmtId="167" fontId="11" fillId="0" borderId="23" xfId="3" applyNumberFormat="1" applyFont="1" applyBorder="1" applyProtection="1">
      <protection locked="0"/>
    </xf>
    <xf numFmtId="167" fontId="10" fillId="3" borderId="12" xfId="3" applyNumberFormat="1" applyFont="1" applyFill="1" applyBorder="1"/>
    <xf numFmtId="167" fontId="11" fillId="0" borderId="35" xfId="3" applyNumberFormat="1" applyFont="1" applyBorder="1"/>
    <xf numFmtId="0" fontId="11" fillId="0" borderId="24" xfId="3" applyFont="1" applyBorder="1" applyProtection="1">
      <protection locked="0"/>
    </xf>
    <xf numFmtId="0" fontId="11" fillId="0" borderId="23" xfId="3" applyFont="1" applyBorder="1" applyProtection="1">
      <protection locked="0"/>
    </xf>
    <xf numFmtId="0" fontId="11" fillId="0" borderId="25" xfId="3" applyFont="1" applyBorder="1" applyProtection="1">
      <protection locked="0"/>
    </xf>
    <xf numFmtId="0" fontId="11" fillId="0" borderId="1" xfId="3" applyFont="1" applyBorder="1" applyProtection="1">
      <protection locked="0"/>
    </xf>
    <xf numFmtId="0" fontId="11" fillId="0" borderId="17" xfId="3" applyFont="1" applyBorder="1" applyProtection="1">
      <protection locked="0"/>
    </xf>
    <xf numFmtId="167" fontId="11" fillId="0" borderId="41" xfId="3" applyNumberFormat="1" applyFont="1" applyBorder="1" applyProtection="1">
      <protection locked="0"/>
    </xf>
    <xf numFmtId="0" fontId="11" fillId="5" borderId="5" xfId="3" applyFont="1" applyFill="1" applyBorder="1"/>
    <xf numFmtId="167" fontId="11" fillId="5" borderId="5" xfId="3" applyNumberFormat="1" applyFont="1" applyFill="1" applyBorder="1"/>
    <xf numFmtId="4" fontId="11" fillId="0" borderId="0" xfId="3" applyNumberFormat="1" applyFont="1" applyProtection="1">
      <protection locked="0"/>
    </xf>
    <xf numFmtId="167" fontId="11" fillId="0" borderId="0" xfId="3" applyNumberFormat="1" applyFont="1"/>
    <xf numFmtId="0" fontId="11" fillId="0" borderId="32" xfId="3" applyFont="1" applyBorder="1"/>
    <xf numFmtId="167" fontId="11" fillId="0" borderId="33" xfId="3" applyNumberFormat="1" applyFont="1" applyBorder="1"/>
    <xf numFmtId="44" fontId="0" fillId="0" borderId="57" xfId="1" applyFont="1" applyBorder="1" applyProtection="1">
      <protection locked="0"/>
    </xf>
    <xf numFmtId="44" fontId="0" fillId="0" borderId="35" xfId="1" applyFont="1" applyBorder="1" applyProtection="1">
      <protection locked="0"/>
    </xf>
    <xf numFmtId="44" fontId="0" fillId="0" borderId="45" xfId="1" applyFont="1" applyBorder="1" applyProtection="1"/>
    <xf numFmtId="44" fontId="0" fillId="0" borderId="45" xfId="1" applyFont="1" applyBorder="1" applyProtection="1">
      <protection locked="0"/>
    </xf>
    <xf numFmtId="44" fontId="0" fillId="0" borderId="56" xfId="1" applyFont="1" applyBorder="1" applyProtection="1">
      <protection locked="0"/>
    </xf>
    <xf numFmtId="44" fontId="0" fillId="0" borderId="34" xfId="1" applyFont="1" applyBorder="1" applyProtection="1">
      <protection locked="0"/>
    </xf>
    <xf numFmtId="44" fontId="0" fillId="0" borderId="43" xfId="1" applyFont="1" applyBorder="1" applyProtection="1">
      <protection locked="0"/>
    </xf>
    <xf numFmtId="44" fontId="0" fillId="0" borderId="12" xfId="1" applyFont="1" applyBorder="1" applyProtection="1"/>
    <xf numFmtId="0" fontId="5" fillId="0" borderId="0" xfId="3" applyProtection="1">
      <protection locked="0"/>
    </xf>
    <xf numFmtId="0" fontId="5" fillId="0" borderId="12" xfId="3" applyBorder="1" applyProtection="1">
      <protection locked="0"/>
    </xf>
    <xf numFmtId="42" fontId="0" fillId="0" borderId="56" xfId="1" applyNumberFormat="1" applyFont="1" applyBorder="1" applyProtection="1"/>
    <xf numFmtId="42" fontId="0" fillId="0" borderId="34" xfId="1" applyNumberFormat="1" applyFont="1" applyBorder="1" applyProtection="1"/>
    <xf numFmtId="42" fontId="5" fillId="0" borderId="43" xfId="1" applyNumberFormat="1" applyFont="1" applyBorder="1" applyAlignment="1" applyProtection="1">
      <alignment horizontal="left"/>
    </xf>
    <xf numFmtId="0" fontId="5" fillId="0" borderId="36" xfId="3" applyBorder="1"/>
    <xf numFmtId="0" fontId="5" fillId="0" borderId="10" xfId="3" applyBorder="1"/>
    <xf numFmtId="0" fontId="5" fillId="0" borderId="6" xfId="3" applyBorder="1"/>
    <xf numFmtId="44" fontId="0" fillId="0" borderId="6" xfId="1" applyFont="1" applyBorder="1" applyProtection="1"/>
    <xf numFmtId="0" fontId="7" fillId="0" borderId="12" xfId="3" applyFont="1" applyBorder="1"/>
    <xf numFmtId="44" fontId="5" fillId="0" borderId="5" xfId="3" applyNumberFormat="1" applyBorder="1"/>
    <xf numFmtId="49" fontId="7" fillId="0" borderId="12" xfId="3" applyNumberFormat="1" applyFont="1" applyBorder="1" applyAlignment="1">
      <alignment horizontal="left"/>
    </xf>
    <xf numFmtId="40" fontId="5" fillId="0" borderId="5" xfId="3" applyNumberFormat="1" applyBorder="1"/>
    <xf numFmtId="49" fontId="7" fillId="0" borderId="0" xfId="3" applyNumberFormat="1" applyFont="1" applyAlignment="1">
      <alignment horizontal="left"/>
    </xf>
    <xf numFmtId="8" fontId="5" fillId="0" borderId="0" xfId="3" applyNumberFormat="1"/>
    <xf numFmtId="0" fontId="7" fillId="0" borderId="11" xfId="3" applyFont="1" applyBorder="1" applyAlignment="1">
      <alignment horizontal="right"/>
    </xf>
    <xf numFmtId="0" fontId="9" fillId="0" borderId="7" xfId="3" applyFont="1" applyBorder="1"/>
    <xf numFmtId="0" fontId="9" fillId="0" borderId="10" xfId="3" applyFont="1" applyBorder="1"/>
    <xf numFmtId="0" fontId="12" fillId="0" borderId="0" xfId="3" applyFont="1"/>
    <xf numFmtId="0" fontId="10" fillId="0" borderId="12" xfId="0" applyFont="1" applyBorder="1"/>
    <xf numFmtId="0" fontId="15" fillId="0" borderId="0" xfId="0" applyFont="1" applyAlignment="1">
      <alignment horizontal="center"/>
    </xf>
    <xf numFmtId="0" fontId="15" fillId="0" borderId="11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167" fontId="16" fillId="0" borderId="21" xfId="1" applyNumberFormat="1" applyFont="1" applyBorder="1" applyProtection="1"/>
    <xf numFmtId="167" fontId="16" fillId="0" borderId="44" xfId="1" applyNumberFormat="1" applyFont="1" applyBorder="1" applyProtection="1"/>
    <xf numFmtId="0" fontId="15" fillId="0" borderId="46" xfId="0" applyFont="1" applyBorder="1" applyAlignment="1">
      <alignment horizontal="center"/>
    </xf>
    <xf numFmtId="167" fontId="16" fillId="0" borderId="47" xfId="0" applyNumberFormat="1" applyFont="1" applyBorder="1" applyAlignment="1">
      <alignment horizontal="center"/>
    </xf>
    <xf numFmtId="0" fontId="16" fillId="0" borderId="0" xfId="0" applyFont="1"/>
    <xf numFmtId="0" fontId="15" fillId="0" borderId="0" xfId="0" applyFont="1"/>
    <xf numFmtId="0" fontId="17" fillId="0" borderId="0" xfId="0" applyFont="1"/>
    <xf numFmtId="0" fontId="15" fillId="0" borderId="0" xfId="0" applyFont="1" applyAlignment="1">
      <alignment horizontal="right"/>
    </xf>
    <xf numFmtId="15" fontId="15" fillId="0" borderId="0" xfId="0" applyNumberFormat="1" applyFont="1"/>
    <xf numFmtId="0" fontId="15" fillId="0" borderId="5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16" fontId="15" fillId="0" borderId="24" xfId="0" applyNumberFormat="1" applyFont="1" applyBorder="1" applyAlignment="1">
      <alignment horizontal="center"/>
    </xf>
    <xf numFmtId="0" fontId="15" fillId="0" borderId="24" xfId="0" applyFont="1" applyBorder="1" applyAlignment="1">
      <alignment horizontal="center"/>
    </xf>
    <xf numFmtId="167" fontId="16" fillId="0" borderId="32" xfId="1" applyNumberFormat="1" applyFont="1" applyFill="1" applyBorder="1" applyAlignment="1" applyProtection="1">
      <alignment horizontal="center"/>
    </xf>
    <xf numFmtId="167" fontId="16" fillId="0" borderId="38" xfId="1" applyNumberFormat="1" applyFont="1" applyFill="1" applyBorder="1" applyAlignment="1" applyProtection="1">
      <alignment horizontal="center"/>
    </xf>
    <xf numFmtId="167" fontId="16" fillId="0" borderId="39" xfId="0" applyNumberFormat="1" applyFont="1" applyBorder="1" applyAlignment="1">
      <alignment horizontal="center"/>
    </xf>
    <xf numFmtId="167" fontId="16" fillId="0" borderId="24" xfId="0" applyNumberFormat="1" applyFont="1" applyBorder="1" applyAlignment="1">
      <alignment horizontal="center"/>
    </xf>
    <xf numFmtId="167" fontId="16" fillId="0" borderId="24" xfId="1" applyNumberFormat="1" applyFont="1" applyFill="1" applyBorder="1" applyAlignment="1" applyProtection="1">
      <alignment horizontal="center"/>
    </xf>
    <xf numFmtId="167" fontId="16" fillId="0" borderId="28" xfId="0" applyNumberFormat="1" applyFont="1" applyBorder="1" applyAlignment="1">
      <alignment horizontal="center"/>
    </xf>
    <xf numFmtId="16" fontId="15" fillId="0" borderId="25" xfId="0" applyNumberFormat="1" applyFont="1" applyBorder="1" applyAlignment="1">
      <alignment horizontal="center"/>
    </xf>
    <xf numFmtId="0" fontId="15" fillId="0" borderId="25" xfId="0" applyFont="1" applyBorder="1" applyAlignment="1">
      <alignment horizontal="center"/>
    </xf>
    <xf numFmtId="167" fontId="16" fillId="0" borderId="34" xfId="1" applyNumberFormat="1" applyFont="1" applyFill="1" applyBorder="1" applyAlignment="1" applyProtection="1">
      <alignment horizontal="center"/>
    </xf>
    <xf numFmtId="167" fontId="16" fillId="0" borderId="21" xfId="1" applyNumberFormat="1" applyFont="1" applyFill="1" applyBorder="1" applyAlignment="1" applyProtection="1">
      <alignment horizontal="center"/>
    </xf>
    <xf numFmtId="167" fontId="16" fillId="0" borderId="22" xfId="0" applyNumberFormat="1" applyFont="1" applyBorder="1" applyAlignment="1">
      <alignment horizontal="center"/>
    </xf>
    <xf numFmtId="167" fontId="16" fillId="0" borderId="19" xfId="0" applyNumberFormat="1" applyFont="1" applyBorder="1" applyAlignment="1">
      <alignment horizontal="center"/>
    </xf>
    <xf numFmtId="167" fontId="16" fillId="0" borderId="25" xfId="0" applyNumberFormat="1" applyFont="1" applyBorder="1" applyAlignment="1">
      <alignment horizontal="center"/>
    </xf>
    <xf numFmtId="167" fontId="16" fillId="0" borderId="25" xfId="1" applyNumberFormat="1" applyFont="1" applyFill="1" applyBorder="1" applyAlignment="1" applyProtection="1">
      <alignment horizontal="center"/>
    </xf>
    <xf numFmtId="167" fontId="16" fillId="0" borderId="29" xfId="0" applyNumberFormat="1" applyFont="1" applyBorder="1" applyAlignment="1">
      <alignment horizontal="center"/>
    </xf>
    <xf numFmtId="16" fontId="15" fillId="0" borderId="27" xfId="0" applyNumberFormat="1" applyFont="1" applyBorder="1" applyAlignment="1">
      <alignment horizontal="center"/>
    </xf>
    <xf numFmtId="0" fontId="15" fillId="0" borderId="27" xfId="0" applyFont="1" applyBorder="1" applyAlignment="1">
      <alignment horizontal="center"/>
    </xf>
    <xf numFmtId="167" fontId="16" fillId="0" borderId="43" xfId="1" applyNumberFormat="1" applyFont="1" applyFill="1" applyBorder="1" applyAlignment="1" applyProtection="1">
      <alignment horizontal="center"/>
    </xf>
    <xf numFmtId="167" fontId="16" fillId="0" borderId="44" xfId="1" applyNumberFormat="1" applyFont="1" applyFill="1" applyBorder="1" applyAlignment="1" applyProtection="1">
      <alignment horizontal="center"/>
    </xf>
    <xf numFmtId="167" fontId="16" fillId="0" borderId="49" xfId="0" applyNumberFormat="1" applyFont="1" applyBorder="1" applyAlignment="1">
      <alignment horizontal="center"/>
    </xf>
    <xf numFmtId="167" fontId="16" fillId="0" borderId="27" xfId="0" applyNumberFormat="1" applyFont="1" applyBorder="1" applyAlignment="1">
      <alignment horizontal="center"/>
    </xf>
    <xf numFmtId="167" fontId="16" fillId="0" borderId="42" xfId="0" applyNumberFormat="1" applyFont="1" applyBorder="1" applyAlignment="1">
      <alignment horizontal="center"/>
    </xf>
    <xf numFmtId="167" fontId="15" fillId="0" borderId="46" xfId="1" applyNumberFormat="1" applyFont="1" applyFill="1" applyBorder="1" applyAlignment="1" applyProtection="1">
      <alignment horizontal="center"/>
    </xf>
    <xf numFmtId="167" fontId="15" fillId="0" borderId="47" xfId="1" applyNumberFormat="1" applyFont="1" applyFill="1" applyBorder="1" applyAlignment="1" applyProtection="1">
      <alignment horizontal="center"/>
    </xf>
    <xf numFmtId="167" fontId="15" fillId="0" borderId="48" xfId="1" applyNumberFormat="1" applyFont="1" applyFill="1" applyBorder="1" applyAlignment="1" applyProtection="1">
      <alignment horizontal="center"/>
    </xf>
    <xf numFmtId="2" fontId="16" fillId="0" borderId="0" xfId="1" applyNumberFormat="1" applyFont="1" applyFill="1" applyBorder="1" applyAlignment="1" applyProtection="1">
      <alignment horizontal="center"/>
    </xf>
    <xf numFmtId="2" fontId="16" fillId="0" borderId="0" xfId="0" applyNumberFormat="1" applyFont="1" applyAlignment="1">
      <alignment horizontal="center"/>
    </xf>
    <xf numFmtId="167" fontId="15" fillId="0" borderId="12" xfId="1" applyNumberFormat="1" applyFont="1" applyFill="1" applyBorder="1" applyAlignment="1" applyProtection="1">
      <alignment horizontal="center"/>
    </xf>
    <xf numFmtId="167" fontId="15" fillId="0" borderId="6" xfId="1" applyNumberFormat="1" applyFont="1" applyFill="1" applyBorder="1" applyAlignment="1" applyProtection="1">
      <alignment horizontal="center"/>
    </xf>
    <xf numFmtId="167" fontId="15" fillId="0" borderId="5" xfId="1" applyNumberFormat="1" applyFont="1" applyFill="1" applyBorder="1" applyAlignment="1" applyProtection="1">
      <alignment horizontal="center"/>
    </xf>
    <xf numFmtId="167" fontId="15" fillId="0" borderId="0" xfId="1" applyNumberFormat="1" applyFont="1" applyFill="1" applyBorder="1" applyAlignment="1" applyProtection="1">
      <alignment horizontal="center"/>
    </xf>
    <xf numFmtId="167" fontId="15" fillId="0" borderId="0" xfId="0" applyNumberFormat="1" applyFont="1" applyAlignment="1">
      <alignment horizontal="center"/>
    </xf>
    <xf numFmtId="7" fontId="15" fillId="0" borderId="0" xfId="1" applyNumberFormat="1" applyFont="1" applyFill="1" applyBorder="1" applyAlignment="1" applyProtection="1">
      <alignment horizontal="center"/>
    </xf>
    <xf numFmtId="7" fontId="16" fillId="0" borderId="0" xfId="1" applyNumberFormat="1" applyFont="1" applyFill="1" applyBorder="1" applyAlignment="1" applyProtection="1">
      <alignment horizontal="center"/>
    </xf>
    <xf numFmtId="0" fontId="16" fillId="0" borderId="0" xfId="0" applyFont="1" applyAlignment="1">
      <alignment horizontal="center"/>
    </xf>
    <xf numFmtId="167" fontId="16" fillId="0" borderId="5" xfId="0" applyNumberFormat="1" applyFont="1" applyBorder="1" applyAlignment="1">
      <alignment horizontal="center"/>
    </xf>
    <xf numFmtId="168" fontId="16" fillId="0" borderId="10" xfId="0" applyNumberFormat="1" applyFont="1" applyBorder="1" applyAlignment="1">
      <alignment horizontal="center"/>
    </xf>
    <xf numFmtId="168" fontId="16" fillId="0" borderId="12" xfId="0" applyNumberFormat="1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167" fontId="16" fillId="0" borderId="18" xfId="0" applyNumberFormat="1" applyFont="1" applyBorder="1" applyAlignment="1">
      <alignment horizontal="center"/>
    </xf>
    <xf numFmtId="167" fontId="16" fillId="0" borderId="23" xfId="0" applyNumberFormat="1" applyFont="1" applyBorder="1" applyAlignment="1">
      <alignment horizontal="center"/>
    </xf>
    <xf numFmtId="167" fontId="16" fillId="0" borderId="41" xfId="0" applyNumberFormat="1" applyFont="1" applyBorder="1" applyAlignment="1">
      <alignment horizontal="center"/>
    </xf>
    <xf numFmtId="166" fontId="16" fillId="0" borderId="0" xfId="0" applyNumberFormat="1" applyFont="1" applyAlignment="1">
      <alignment horizontal="center"/>
    </xf>
    <xf numFmtId="167" fontId="16" fillId="0" borderId="31" xfId="0" applyNumberFormat="1" applyFont="1" applyBorder="1" applyAlignment="1">
      <alignment horizontal="center"/>
    </xf>
    <xf numFmtId="167" fontId="16" fillId="0" borderId="18" xfId="0" applyNumberFormat="1" applyFont="1" applyBorder="1" applyAlignment="1" applyProtection="1">
      <alignment horizontal="center"/>
      <protection locked="0"/>
    </xf>
    <xf numFmtId="167" fontId="16" fillId="0" borderId="1" xfId="0" applyNumberFormat="1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7" fontId="16" fillId="0" borderId="19" xfId="0" applyNumberFormat="1" applyFont="1" applyBorder="1" applyAlignment="1" applyProtection="1">
      <alignment horizontal="center"/>
      <protection locked="0"/>
    </xf>
    <xf numFmtId="167" fontId="16" fillId="0" borderId="20" xfId="0" applyNumberFormat="1" applyFont="1" applyBorder="1" applyAlignment="1">
      <alignment horizontal="center"/>
    </xf>
    <xf numFmtId="167" fontId="16" fillId="0" borderId="26" xfId="0" applyNumberFormat="1" applyFont="1" applyBorder="1" applyAlignment="1">
      <alignment horizontal="center"/>
    </xf>
    <xf numFmtId="167" fontId="16" fillId="0" borderId="30" xfId="0" applyNumberFormat="1" applyFont="1" applyBorder="1" applyAlignment="1">
      <alignment horizontal="center"/>
    </xf>
    <xf numFmtId="167" fontId="16" fillId="0" borderId="40" xfId="0" applyNumberFormat="1" applyFont="1" applyBorder="1" applyAlignment="1">
      <alignment horizontal="center"/>
    </xf>
    <xf numFmtId="167" fontId="16" fillId="0" borderId="52" xfId="0" applyNumberFormat="1" applyFont="1" applyBorder="1" applyAlignment="1" applyProtection="1">
      <alignment horizontal="center"/>
      <protection locked="0"/>
    </xf>
    <xf numFmtId="167" fontId="16" fillId="0" borderId="17" xfId="0" applyNumberFormat="1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167" fontId="15" fillId="0" borderId="11" xfId="0" applyNumberFormat="1" applyFont="1" applyBorder="1" applyAlignment="1">
      <alignment horizontal="center"/>
    </xf>
    <xf numFmtId="167" fontId="15" fillId="0" borderId="6" xfId="0" applyNumberFormat="1" applyFont="1" applyBorder="1" applyAlignment="1">
      <alignment horizontal="center"/>
    </xf>
    <xf numFmtId="167" fontId="15" fillId="0" borderId="12" xfId="0" applyNumberFormat="1" applyFont="1" applyBorder="1" applyAlignment="1">
      <alignment horizontal="center"/>
    </xf>
    <xf numFmtId="167" fontId="15" fillId="0" borderId="5" xfId="0" applyNumberFormat="1" applyFont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167" fontId="16" fillId="0" borderId="12" xfId="0" applyNumberFormat="1" applyFont="1" applyBorder="1" applyAlignment="1">
      <alignment horizontal="center"/>
    </xf>
    <xf numFmtId="167" fontId="16" fillId="6" borderId="5" xfId="0" applyNumberFormat="1" applyFont="1" applyFill="1" applyBorder="1" applyAlignment="1">
      <alignment horizontal="center"/>
    </xf>
    <xf numFmtId="0" fontId="18" fillId="0" borderId="11" xfId="0" applyFont="1" applyBorder="1" applyAlignment="1">
      <alignment horizontal="center"/>
    </xf>
    <xf numFmtId="4" fontId="18" fillId="0" borderId="11" xfId="0" applyNumberFormat="1" applyFont="1" applyBorder="1" applyAlignment="1" applyProtection="1">
      <alignment horizontal="center"/>
      <protection locked="0"/>
    </xf>
    <xf numFmtId="4" fontId="18" fillId="0" borderId="12" xfId="0" applyNumberFormat="1" applyFont="1" applyBorder="1" applyAlignment="1" applyProtection="1">
      <alignment horizontal="center"/>
      <protection locked="0"/>
    </xf>
    <xf numFmtId="6" fontId="16" fillId="0" borderId="0" xfId="0" applyNumberFormat="1" applyFont="1" applyAlignment="1">
      <alignment horizontal="center"/>
    </xf>
    <xf numFmtId="168" fontId="16" fillId="0" borderId="11" xfId="0" applyNumberFormat="1" applyFont="1" applyBorder="1" applyAlignment="1">
      <alignment horizontal="center"/>
    </xf>
    <xf numFmtId="167" fontId="16" fillId="0" borderId="61" xfId="1" applyNumberFormat="1" applyFont="1" applyBorder="1" applyProtection="1"/>
    <xf numFmtId="167" fontId="16" fillId="0" borderId="25" xfId="0" applyNumberFormat="1" applyFont="1" applyBorder="1" applyAlignment="1" applyProtection="1">
      <alignment horizontal="center"/>
      <protection locked="0"/>
    </xf>
    <xf numFmtId="167" fontId="16" fillId="0" borderId="29" xfId="0" applyNumberFormat="1" applyFont="1" applyBorder="1" applyAlignment="1" applyProtection="1">
      <alignment horizontal="center"/>
      <protection locked="0"/>
    </xf>
    <xf numFmtId="0" fontId="15" fillId="0" borderId="0" xfId="3" applyFont="1" applyAlignment="1">
      <alignment horizontal="center"/>
    </xf>
    <xf numFmtId="0" fontId="16" fillId="6" borderId="32" xfId="0" applyFont="1" applyFill="1" applyBorder="1"/>
    <xf numFmtId="167" fontId="16" fillId="0" borderId="33" xfId="0" applyNumberFormat="1" applyFont="1" applyBorder="1"/>
    <xf numFmtId="0" fontId="15" fillId="0" borderId="12" xfId="0" applyFont="1" applyBorder="1"/>
    <xf numFmtId="167" fontId="16" fillId="0" borderId="11" xfId="0" applyNumberFormat="1" applyFont="1" applyBorder="1"/>
    <xf numFmtId="167" fontId="16" fillId="0" borderId="12" xfId="0" applyNumberFormat="1" applyFont="1" applyBorder="1"/>
    <xf numFmtId="167" fontId="16" fillId="0" borderId="6" xfId="0" applyNumberFormat="1" applyFont="1" applyBorder="1"/>
    <xf numFmtId="167" fontId="16" fillId="0" borderId="5" xfId="0" applyNumberFormat="1" applyFont="1" applyBorder="1"/>
    <xf numFmtId="0" fontId="16" fillId="7" borderId="34" xfId="0" applyFont="1" applyFill="1" applyBorder="1"/>
    <xf numFmtId="167" fontId="16" fillId="0" borderId="35" xfId="0" applyNumberFormat="1" applyFont="1" applyBorder="1"/>
    <xf numFmtId="167" fontId="16" fillId="0" borderId="37" xfId="0" applyNumberFormat="1" applyFont="1" applyBorder="1"/>
    <xf numFmtId="0" fontId="23" fillId="0" borderId="0" xfId="4" applyFont="1"/>
    <xf numFmtId="0" fontId="25" fillId="0" borderId="2" xfId="4" applyFont="1" applyBorder="1" applyAlignment="1">
      <alignment horizontal="right"/>
    </xf>
    <xf numFmtId="169" fontId="24" fillId="0" borderId="55" xfId="4" applyNumberFormat="1" applyFont="1" applyBorder="1" applyAlignment="1">
      <alignment horizontal="center" wrapText="1"/>
    </xf>
    <xf numFmtId="169" fontId="23" fillId="0" borderId="0" xfId="4" applyNumberFormat="1" applyFont="1" applyAlignment="1">
      <alignment horizontal="center" wrapText="1"/>
    </xf>
    <xf numFmtId="0" fontId="15" fillId="9" borderId="59" xfId="4" applyFont="1" applyFill="1" applyBorder="1" applyAlignment="1">
      <alignment horizontal="center"/>
    </xf>
    <xf numFmtId="0" fontId="26" fillId="0" borderId="0" xfId="4" applyFont="1" applyAlignment="1">
      <alignment horizontal="center"/>
    </xf>
    <xf numFmtId="170" fontId="16" fillId="9" borderId="33" xfId="4" applyNumberFormat="1" applyFont="1" applyFill="1" applyBorder="1" applyAlignment="1">
      <alignment horizontal="center"/>
    </xf>
    <xf numFmtId="0" fontId="15" fillId="9" borderId="34" xfId="4" applyFont="1" applyFill="1" applyBorder="1" applyAlignment="1">
      <alignment horizontal="center"/>
    </xf>
    <xf numFmtId="170" fontId="16" fillId="9" borderId="35" xfId="4" applyNumberFormat="1" applyFont="1" applyFill="1" applyBorder="1" applyAlignment="1">
      <alignment horizontal="center"/>
    </xf>
    <xf numFmtId="0" fontId="15" fillId="9" borderId="36" xfId="4" applyFont="1" applyFill="1" applyBorder="1" applyAlignment="1">
      <alignment horizontal="center"/>
    </xf>
    <xf numFmtId="170" fontId="16" fillId="9" borderId="37" xfId="4" applyNumberFormat="1" applyFont="1" applyFill="1" applyBorder="1" applyAlignment="1">
      <alignment horizontal="center"/>
    </xf>
    <xf numFmtId="0" fontId="25" fillId="9" borderId="7" xfId="4" applyFont="1" applyFill="1" applyBorder="1" applyAlignment="1">
      <alignment horizontal="right"/>
    </xf>
    <xf numFmtId="0" fontId="25" fillId="9" borderId="14" xfId="4" applyFont="1" applyFill="1" applyBorder="1" applyAlignment="1">
      <alignment horizontal="center"/>
    </xf>
    <xf numFmtId="0" fontId="25" fillId="9" borderId="9" xfId="4" applyFont="1" applyFill="1" applyBorder="1" applyAlignment="1">
      <alignment horizontal="center"/>
    </xf>
    <xf numFmtId="8" fontId="25" fillId="9" borderId="14" xfId="4" applyNumberFormat="1" applyFont="1" applyFill="1" applyBorder="1" applyAlignment="1">
      <alignment horizontal="center" wrapText="1"/>
    </xf>
    <xf numFmtId="0" fontId="15" fillId="0" borderId="32" xfId="4" applyFont="1" applyBorder="1" applyAlignment="1">
      <alignment horizontal="center"/>
    </xf>
    <xf numFmtId="0" fontId="26" fillId="0" borderId="33" xfId="4" applyFont="1" applyBorder="1" applyAlignment="1">
      <alignment horizontal="center"/>
    </xf>
    <xf numFmtId="0" fontId="25" fillId="9" borderId="2" xfId="4" applyFont="1" applyFill="1" applyBorder="1" applyAlignment="1">
      <alignment horizontal="right"/>
    </xf>
    <xf numFmtId="0" fontId="24" fillId="9" borderId="15" xfId="4" applyFont="1" applyFill="1" applyBorder="1" applyAlignment="1" applyProtection="1">
      <alignment horizontal="right" wrapText="1"/>
      <protection locked="0"/>
    </xf>
    <xf numFmtId="0" fontId="23" fillId="9" borderId="0" xfId="4" applyFont="1" applyFill="1" applyAlignment="1" applyProtection="1">
      <alignment wrapText="1"/>
      <protection locked="0"/>
    </xf>
    <xf numFmtId="0" fontId="23" fillId="9" borderId="15" xfId="4" applyFont="1" applyFill="1" applyBorder="1" applyAlignment="1" applyProtection="1">
      <alignment wrapText="1"/>
      <protection locked="0"/>
    </xf>
    <xf numFmtId="0" fontId="16" fillId="0" borderId="34" xfId="4" applyFont="1" applyBorder="1" applyAlignment="1" applyProtection="1">
      <alignment horizontal="center"/>
      <protection locked="0"/>
    </xf>
    <xf numFmtId="49" fontId="23" fillId="0" borderId="35" xfId="4" applyNumberFormat="1" applyFont="1" applyBorder="1" applyAlignment="1" applyProtection="1">
      <alignment horizontal="center"/>
      <protection locked="0"/>
    </xf>
    <xf numFmtId="0" fontId="16" fillId="0" borderId="36" xfId="4" applyFont="1" applyBorder="1" applyAlignment="1" applyProtection="1">
      <alignment horizontal="center"/>
      <protection locked="0"/>
    </xf>
    <xf numFmtId="49" fontId="23" fillId="0" borderId="37" xfId="4" applyNumberFormat="1" applyFont="1" applyBorder="1" applyAlignment="1" applyProtection="1">
      <alignment horizontal="center"/>
      <protection locked="0"/>
    </xf>
    <xf numFmtId="0" fontId="15" fillId="0" borderId="0" xfId="4" applyFont="1" applyAlignment="1">
      <alignment horizontal="center"/>
    </xf>
    <xf numFmtId="0" fontId="24" fillId="9" borderId="14" xfId="4" applyFont="1" applyFill="1" applyBorder="1" applyAlignment="1">
      <alignment horizontal="right"/>
    </xf>
    <xf numFmtId="0" fontId="24" fillId="9" borderId="15" xfId="4" applyFont="1" applyFill="1" applyBorder="1" applyAlignment="1">
      <alignment horizontal="right"/>
    </xf>
    <xf numFmtId="1" fontId="16" fillId="0" borderId="51" xfId="0" applyNumberFormat="1" applyFont="1" applyBorder="1" applyAlignment="1" applyProtection="1">
      <alignment horizontal="center"/>
      <protection locked="0"/>
    </xf>
    <xf numFmtId="1" fontId="16" fillId="0" borderId="24" xfId="0" applyNumberFormat="1" applyFont="1" applyBorder="1" applyAlignment="1">
      <alignment horizontal="center"/>
    </xf>
    <xf numFmtId="1" fontId="16" fillId="0" borderId="28" xfId="0" applyNumberFormat="1" applyFont="1" applyBorder="1" applyAlignment="1" applyProtection="1">
      <alignment horizontal="center"/>
      <protection locked="0"/>
    </xf>
    <xf numFmtId="171" fontId="16" fillId="0" borderId="28" xfId="0" applyNumberFormat="1" applyFont="1" applyBorder="1" applyAlignment="1" applyProtection="1">
      <alignment horizontal="center"/>
      <protection locked="0"/>
    </xf>
    <xf numFmtId="0" fontId="24" fillId="9" borderId="13" xfId="4" applyFont="1" applyFill="1" applyBorder="1" applyAlignment="1">
      <alignment horizontal="right"/>
    </xf>
    <xf numFmtId="1" fontId="16" fillId="0" borderId="19" xfId="0" applyNumberFormat="1" applyFont="1" applyBorder="1" applyAlignment="1" applyProtection="1">
      <alignment horizontal="center"/>
      <protection locked="0"/>
    </xf>
    <xf numFmtId="1" fontId="16" fillId="0" borderId="25" xfId="0" applyNumberFormat="1" applyFont="1" applyBorder="1" applyAlignment="1">
      <alignment horizontal="center"/>
    </xf>
    <xf numFmtId="1" fontId="16" fillId="0" borderId="29" xfId="0" applyNumberFormat="1" applyFont="1" applyBorder="1" applyAlignment="1" applyProtection="1">
      <alignment horizontal="center"/>
      <protection locked="0"/>
    </xf>
    <xf numFmtId="171" fontId="16" fillId="0" borderId="29" xfId="0" applyNumberFormat="1" applyFont="1" applyBorder="1" applyAlignment="1" applyProtection="1">
      <alignment horizontal="center"/>
      <protection locked="0"/>
    </xf>
    <xf numFmtId="0" fontId="25" fillId="9" borderId="14" xfId="4" applyFont="1" applyFill="1" applyBorder="1" applyAlignment="1">
      <alignment horizontal="right"/>
    </xf>
    <xf numFmtId="0" fontId="23" fillId="9" borderId="3" xfId="4" applyFont="1" applyFill="1" applyBorder="1" applyAlignment="1" applyProtection="1">
      <alignment horizontal="left" wrapText="1"/>
      <protection locked="0"/>
    </xf>
    <xf numFmtId="0" fontId="29" fillId="9" borderId="15" xfId="4" applyFont="1" applyFill="1" applyBorder="1" applyAlignment="1">
      <alignment horizontal="right"/>
    </xf>
    <xf numFmtId="1" fontId="16" fillId="0" borderId="52" xfId="0" applyNumberFormat="1" applyFont="1" applyBorder="1" applyAlignment="1" applyProtection="1">
      <alignment horizontal="center"/>
      <protection locked="0"/>
    </xf>
    <xf numFmtId="1" fontId="16" fillId="0" borderId="27" xfId="0" applyNumberFormat="1" applyFont="1" applyBorder="1" applyAlignment="1">
      <alignment horizontal="center"/>
    </xf>
    <xf numFmtId="1" fontId="16" fillId="0" borderId="42" xfId="0" applyNumberFormat="1" applyFont="1" applyBorder="1" applyAlignment="1" applyProtection="1">
      <alignment horizontal="center"/>
      <protection locked="0"/>
    </xf>
    <xf numFmtId="171" fontId="16" fillId="0" borderId="42" xfId="0" applyNumberFormat="1" applyFont="1" applyBorder="1" applyAlignment="1" applyProtection="1">
      <alignment horizontal="center"/>
      <protection locked="0"/>
    </xf>
    <xf numFmtId="0" fontId="23" fillId="0" borderId="0" xfId="5" applyFont="1"/>
    <xf numFmtId="0" fontId="18" fillId="9" borderId="14" xfId="5" applyFont="1" applyFill="1" applyBorder="1" applyAlignment="1">
      <alignment horizontal="right"/>
    </xf>
    <xf numFmtId="0" fontId="31" fillId="9" borderId="15" xfId="5" applyFont="1" applyFill="1" applyBorder="1" applyAlignment="1">
      <alignment horizontal="right"/>
    </xf>
    <xf numFmtId="0" fontId="18" fillId="9" borderId="15" xfId="5" applyFont="1" applyFill="1" applyBorder="1"/>
    <xf numFmtId="0" fontId="31" fillId="9" borderId="13" xfId="5" applyFont="1" applyFill="1" applyBorder="1" applyAlignment="1">
      <alignment horizontal="right"/>
    </xf>
    <xf numFmtId="0" fontId="25" fillId="9" borderId="2" xfId="5" applyFont="1" applyFill="1" applyBorder="1" applyAlignment="1">
      <alignment horizontal="right"/>
    </xf>
    <xf numFmtId="0" fontId="31" fillId="9" borderId="2" xfId="5" applyFont="1" applyFill="1" applyBorder="1" applyAlignment="1">
      <alignment horizontal="right"/>
    </xf>
    <xf numFmtId="0" fontId="18" fillId="9" borderId="7" xfId="5" applyFont="1" applyFill="1" applyBorder="1" applyAlignment="1">
      <alignment horizontal="right"/>
    </xf>
    <xf numFmtId="0" fontId="31" fillId="9" borderId="10" xfId="5" applyFont="1" applyFill="1" applyBorder="1" applyAlignment="1">
      <alignment horizontal="right"/>
    </xf>
    <xf numFmtId="167" fontId="11" fillId="0" borderId="24" xfId="0" applyNumberFormat="1" applyFont="1" applyBorder="1" applyProtection="1">
      <protection locked="0"/>
    </xf>
    <xf numFmtId="167" fontId="11" fillId="0" borderId="25" xfId="0" applyNumberFormat="1" applyFont="1" applyBorder="1" applyProtection="1">
      <protection locked="0"/>
    </xf>
    <xf numFmtId="167" fontId="11" fillId="0" borderId="26" xfId="0" applyNumberFormat="1" applyFont="1" applyBorder="1" applyProtection="1">
      <protection locked="0"/>
    </xf>
    <xf numFmtId="167" fontId="10" fillId="4" borderId="12" xfId="0" applyNumberFormat="1" applyFont="1" applyFill="1" applyBorder="1"/>
    <xf numFmtId="167" fontId="11" fillId="0" borderId="13" xfId="0" applyNumberFormat="1" applyFont="1" applyBorder="1" applyProtection="1">
      <protection locked="0"/>
    </xf>
    <xf numFmtId="0" fontId="24" fillId="9" borderId="2" xfId="4" applyFont="1" applyFill="1" applyBorder="1" applyAlignment="1" applyProtection="1">
      <alignment horizontal="left"/>
      <protection locked="0"/>
    </xf>
    <xf numFmtId="0" fontId="23" fillId="9" borderId="3" xfId="4" applyFont="1" applyFill="1" applyBorder="1" applyAlignment="1" applyProtection="1">
      <alignment horizontal="left"/>
      <protection locked="0"/>
    </xf>
    <xf numFmtId="0" fontId="23" fillId="9" borderId="0" xfId="4" applyFont="1" applyFill="1" applyAlignment="1" applyProtection="1">
      <alignment horizontal="right"/>
      <protection locked="0"/>
    </xf>
    <xf numFmtId="0" fontId="16" fillId="0" borderId="0" xfId="6" applyFont="1"/>
    <xf numFmtId="4" fontId="18" fillId="0" borderId="5" xfId="0" applyNumberFormat="1" applyFont="1" applyBorder="1" applyAlignment="1" applyProtection="1">
      <alignment horizontal="center"/>
      <protection locked="0"/>
    </xf>
    <xf numFmtId="168" fontId="16" fillId="0" borderId="6" xfId="0" applyNumberFormat="1" applyFont="1" applyBorder="1" applyAlignment="1">
      <alignment horizontal="center"/>
    </xf>
    <xf numFmtId="167" fontId="16" fillId="0" borderId="34" xfId="0" applyNumberFormat="1" applyFont="1" applyBorder="1" applyAlignment="1">
      <alignment horizontal="center"/>
    </xf>
    <xf numFmtId="170" fontId="16" fillId="0" borderId="35" xfId="1" applyNumberFormat="1" applyFont="1" applyBorder="1" applyProtection="1"/>
    <xf numFmtId="167" fontId="16" fillId="0" borderId="43" xfId="0" applyNumberFormat="1" applyFont="1" applyBorder="1" applyAlignment="1">
      <alignment horizontal="center"/>
    </xf>
    <xf numFmtId="170" fontId="16" fillId="0" borderId="45" xfId="1" applyNumberFormat="1" applyFont="1" applyBorder="1" applyProtection="1"/>
    <xf numFmtId="167" fontId="15" fillId="0" borderId="46" xfId="0" applyNumberFormat="1" applyFont="1" applyBorder="1" applyAlignment="1">
      <alignment horizontal="center"/>
    </xf>
    <xf numFmtId="167" fontId="16" fillId="0" borderId="48" xfId="0" applyNumberFormat="1" applyFont="1" applyBorder="1" applyAlignment="1">
      <alignment horizontal="center"/>
    </xf>
    <xf numFmtId="167" fontId="16" fillId="0" borderId="56" xfId="0" applyNumberFormat="1" applyFont="1" applyBorder="1" applyAlignment="1">
      <alignment horizontal="center"/>
    </xf>
    <xf numFmtId="170" fontId="16" fillId="0" borderId="57" xfId="1" applyNumberFormat="1" applyFont="1" applyBorder="1" applyProtection="1"/>
    <xf numFmtId="0" fontId="15" fillId="0" borderId="47" xfId="0" applyFont="1" applyBorder="1" applyAlignment="1">
      <alignment horizontal="center"/>
    </xf>
    <xf numFmtId="0" fontId="15" fillId="0" borderId="48" xfId="0" applyFont="1" applyBorder="1" applyAlignment="1">
      <alignment horizontal="center"/>
    </xf>
    <xf numFmtId="167" fontId="16" fillId="0" borderId="23" xfId="0" applyNumberFormat="1" applyFont="1" applyBorder="1" applyAlignment="1" applyProtection="1">
      <alignment horizontal="center"/>
      <protection locked="0"/>
    </xf>
    <xf numFmtId="167" fontId="16" fillId="0" borderId="26" xfId="0" applyNumberFormat="1" applyFont="1" applyBorder="1" applyAlignment="1" applyProtection="1">
      <alignment horizontal="center"/>
      <protection locked="0"/>
    </xf>
    <xf numFmtId="167" fontId="16" fillId="0" borderId="41" xfId="0" applyNumberFormat="1" applyFont="1" applyBorder="1" applyAlignment="1" applyProtection="1">
      <alignment horizontal="center"/>
      <protection locked="0"/>
    </xf>
    <xf numFmtId="167" fontId="16" fillId="0" borderId="30" xfId="0" applyNumberFormat="1" applyFont="1" applyBorder="1" applyAlignment="1" applyProtection="1">
      <alignment horizontal="center"/>
      <protection locked="0"/>
    </xf>
    <xf numFmtId="0" fontId="16" fillId="0" borderId="0" xfId="6" applyFont="1" applyProtection="1">
      <protection locked="0"/>
    </xf>
    <xf numFmtId="0" fontId="15" fillId="0" borderId="0" xfId="6" applyFont="1" applyProtection="1">
      <protection locked="0"/>
    </xf>
    <xf numFmtId="172" fontId="16" fillId="0" borderId="56" xfId="6" applyNumberFormat="1" applyFont="1" applyBorder="1" applyAlignment="1" applyProtection="1">
      <alignment horizontal="center"/>
      <protection locked="0"/>
    </xf>
    <xf numFmtId="0" fontId="15" fillId="0" borderId="61" xfId="0" applyFont="1" applyBorder="1" applyAlignment="1" applyProtection="1">
      <alignment horizontal="center"/>
      <protection locked="0"/>
    </xf>
    <xf numFmtId="0" fontId="15" fillId="0" borderId="64" xfId="0" applyFont="1" applyBorder="1" applyAlignment="1" applyProtection="1">
      <alignment horizontal="center"/>
      <protection locked="0"/>
    </xf>
    <xf numFmtId="172" fontId="16" fillId="0" borderId="34" xfId="6" applyNumberFormat="1" applyFont="1" applyBorder="1" applyAlignment="1" applyProtection="1">
      <alignment horizontal="center"/>
      <protection locked="0"/>
    </xf>
    <xf numFmtId="0" fontId="15" fillId="0" borderId="21" xfId="0" applyFont="1" applyBorder="1" applyAlignment="1" applyProtection="1">
      <alignment horizontal="center"/>
      <protection locked="0"/>
    </xf>
    <xf numFmtId="0" fontId="15" fillId="0" borderId="22" xfId="0" applyFont="1" applyBorder="1" applyAlignment="1" applyProtection="1">
      <alignment horizontal="center"/>
      <protection locked="0"/>
    </xf>
    <xf numFmtId="172" fontId="16" fillId="0" borderId="43" xfId="6" applyNumberFormat="1" applyFont="1" applyBorder="1" applyAlignment="1" applyProtection="1">
      <alignment horizontal="center"/>
      <protection locked="0"/>
    </xf>
    <xf numFmtId="0" fontId="15" fillId="0" borderId="44" xfId="0" applyFont="1" applyBorder="1" applyAlignment="1" applyProtection="1">
      <alignment horizontal="center"/>
      <protection locked="0"/>
    </xf>
    <xf numFmtId="0" fontId="15" fillId="0" borderId="49" xfId="0" applyFont="1" applyBorder="1" applyAlignment="1" applyProtection="1">
      <alignment horizontal="center"/>
      <protection locked="0"/>
    </xf>
    <xf numFmtId="0" fontId="15" fillId="0" borderId="0" xfId="6" applyFont="1" applyAlignment="1" applyProtection="1">
      <alignment horizontal="center"/>
      <protection locked="0"/>
    </xf>
    <xf numFmtId="0" fontId="32" fillId="5" borderId="46" xfId="6" applyFont="1" applyFill="1" applyBorder="1" applyAlignment="1" applyProtection="1">
      <alignment horizontal="center"/>
      <protection locked="0"/>
    </xf>
    <xf numFmtId="0" fontId="32" fillId="5" borderId="47" xfId="6" applyFont="1" applyFill="1" applyBorder="1" applyAlignment="1" applyProtection="1">
      <alignment horizontal="center"/>
      <protection locked="0"/>
    </xf>
    <xf numFmtId="0" fontId="32" fillId="5" borderId="47" xfId="0" applyFont="1" applyFill="1" applyBorder="1" applyAlignment="1" applyProtection="1">
      <alignment horizontal="center"/>
      <protection locked="0"/>
    </xf>
    <xf numFmtId="0" fontId="32" fillId="5" borderId="50" xfId="0" applyFont="1" applyFill="1" applyBorder="1" applyAlignment="1" applyProtection="1">
      <alignment horizontal="center"/>
      <protection locked="0"/>
    </xf>
    <xf numFmtId="0" fontId="32" fillId="5" borderId="12" xfId="0" applyFont="1" applyFill="1" applyBorder="1" applyAlignment="1" applyProtection="1">
      <alignment horizontal="center"/>
      <protection locked="0"/>
    </xf>
    <xf numFmtId="0" fontId="32" fillId="5" borderId="12" xfId="0" applyFont="1" applyFill="1" applyBorder="1" applyAlignment="1">
      <alignment horizontal="center"/>
    </xf>
    <xf numFmtId="0" fontId="32" fillId="5" borderId="5" xfId="0" applyFont="1" applyFill="1" applyBorder="1" applyAlignment="1" applyProtection="1">
      <alignment horizontal="center"/>
      <protection locked="0"/>
    </xf>
    <xf numFmtId="0" fontId="19" fillId="0" borderId="7" xfId="0" applyFont="1" applyBorder="1" applyAlignment="1" applyProtection="1">
      <alignment horizontal="left"/>
      <protection locked="0"/>
    </xf>
    <xf numFmtId="0" fontId="19" fillId="0" borderId="0" xfId="6" applyFont="1" applyAlignment="1" applyProtection="1">
      <alignment horizontal="right"/>
      <protection locked="0"/>
    </xf>
    <xf numFmtId="0" fontId="20" fillId="0" borderId="0" xfId="6" applyFont="1" applyProtection="1">
      <protection locked="0"/>
    </xf>
    <xf numFmtId="0" fontId="20" fillId="0" borderId="0" xfId="6" applyFont="1"/>
    <xf numFmtId="0" fontId="19" fillId="0" borderId="0" xfId="6" applyFont="1" applyAlignment="1" applyProtection="1">
      <alignment horizontal="center"/>
      <protection locked="0"/>
    </xf>
    <xf numFmtId="172" fontId="20" fillId="10" borderId="11" xfId="6" applyNumberFormat="1" applyFont="1" applyFill="1" applyBorder="1"/>
    <xf numFmtId="0" fontId="19" fillId="10" borderId="6" xfId="0" applyFont="1" applyFill="1" applyBorder="1" applyAlignment="1">
      <alignment horizontal="center"/>
    </xf>
    <xf numFmtId="0" fontId="19" fillId="10" borderId="5" xfId="0" applyFont="1" applyFill="1" applyBorder="1" applyAlignment="1">
      <alignment horizontal="center"/>
    </xf>
    <xf numFmtId="0" fontId="19" fillId="11" borderId="6" xfId="0" applyFont="1" applyFill="1" applyBorder="1" applyAlignment="1">
      <alignment horizontal="center"/>
    </xf>
    <xf numFmtId="167" fontId="19" fillId="0" borderId="12" xfId="0" applyNumberFormat="1" applyFont="1" applyBorder="1" applyAlignment="1">
      <alignment horizontal="center"/>
    </xf>
    <xf numFmtId="167" fontId="19" fillId="0" borderId="5" xfId="0" applyNumberFormat="1" applyFont="1" applyBorder="1" applyAlignment="1">
      <alignment horizontal="center"/>
    </xf>
    <xf numFmtId="0" fontId="16" fillId="0" borderId="0" xfId="0" applyFont="1" applyAlignment="1">
      <alignment horizontal="left" indent="3" readingOrder="1"/>
    </xf>
    <xf numFmtId="170" fontId="11" fillId="0" borderId="35" xfId="0" applyNumberFormat="1" applyFont="1" applyBorder="1" applyAlignment="1">
      <alignment horizontal="center" wrapText="1" readingOrder="1"/>
    </xf>
    <xf numFmtId="170" fontId="16" fillId="0" borderId="41" xfId="0" applyNumberFormat="1" applyFont="1" applyBorder="1" applyAlignment="1">
      <alignment horizontal="center"/>
    </xf>
    <xf numFmtId="170" fontId="16" fillId="0" borderId="29" xfId="0" applyNumberFormat="1" applyFont="1" applyBorder="1" applyAlignment="1">
      <alignment horizontal="center"/>
    </xf>
    <xf numFmtId="170" fontId="15" fillId="0" borderId="12" xfId="0" applyNumberFormat="1" applyFont="1" applyBorder="1" applyAlignment="1">
      <alignment horizontal="center"/>
    </xf>
    <xf numFmtId="167" fontId="15" fillId="0" borderId="31" xfId="0" applyNumberFormat="1" applyFont="1" applyBorder="1" applyAlignment="1">
      <alignment horizontal="center"/>
    </xf>
    <xf numFmtId="167" fontId="15" fillId="0" borderId="16" xfId="0" applyNumberFormat="1" applyFont="1" applyBorder="1" applyAlignment="1">
      <alignment horizontal="center"/>
    </xf>
    <xf numFmtId="167" fontId="15" fillId="0" borderId="40" xfId="0" applyNumberFormat="1" applyFont="1" applyBorder="1" applyAlignment="1">
      <alignment horizontal="center"/>
    </xf>
    <xf numFmtId="170" fontId="16" fillId="0" borderId="24" xfId="0" applyNumberFormat="1" applyFont="1" applyBorder="1" applyAlignment="1" applyProtection="1">
      <alignment horizontal="center"/>
      <protection locked="0"/>
    </xf>
    <xf numFmtId="170" fontId="16" fillId="0" borderId="25" xfId="0" applyNumberFormat="1" applyFont="1" applyBorder="1" applyAlignment="1" applyProtection="1">
      <alignment horizontal="center"/>
      <protection locked="0"/>
    </xf>
    <xf numFmtId="170" fontId="16" fillId="0" borderId="27" xfId="0" applyNumberFormat="1" applyFont="1" applyBorder="1" applyAlignment="1" applyProtection="1">
      <alignment horizontal="center"/>
      <protection locked="0"/>
    </xf>
    <xf numFmtId="170" fontId="16" fillId="0" borderId="18" xfId="0" applyNumberFormat="1" applyFont="1" applyBorder="1" applyAlignment="1">
      <alignment horizontal="center"/>
    </xf>
    <xf numFmtId="170" fontId="16" fillId="0" borderId="19" xfId="0" applyNumberFormat="1" applyFont="1" applyBorder="1" applyAlignment="1">
      <alignment horizontal="center"/>
    </xf>
    <xf numFmtId="170" fontId="16" fillId="0" borderId="16" xfId="0" applyNumberFormat="1" applyFont="1" applyBorder="1" applyAlignment="1">
      <alignment horizontal="center"/>
    </xf>
    <xf numFmtId="170" fontId="16" fillId="0" borderId="40" xfId="0" applyNumberFormat="1" applyFont="1" applyBorder="1" applyAlignment="1">
      <alignment horizontal="center"/>
    </xf>
    <xf numFmtId="170" fontId="16" fillId="0" borderId="19" xfId="0" applyNumberFormat="1" applyFont="1" applyBorder="1" applyAlignment="1" applyProtection="1">
      <alignment horizontal="center"/>
      <protection locked="0"/>
    </xf>
    <xf numFmtId="170" fontId="16" fillId="0" borderId="52" xfId="0" applyNumberFormat="1" applyFont="1" applyBorder="1" applyAlignment="1" applyProtection="1">
      <alignment horizontal="center"/>
      <protection locked="0"/>
    </xf>
    <xf numFmtId="167" fontId="16" fillId="0" borderId="0" xfId="3" applyNumberFormat="1" applyFont="1"/>
    <xf numFmtId="170" fontId="24" fillId="9" borderId="0" xfId="4" applyNumberFormat="1" applyFont="1" applyFill="1" applyAlignment="1">
      <alignment horizontal="left"/>
    </xf>
    <xf numFmtId="170" fontId="16" fillId="9" borderId="0" xfId="0" applyNumberFormat="1" applyFont="1" applyFill="1" applyAlignment="1">
      <alignment horizontal="right"/>
    </xf>
    <xf numFmtId="170" fontId="24" fillId="9" borderId="9" xfId="4" applyNumberFormat="1" applyFont="1" applyFill="1" applyBorder="1" applyAlignment="1">
      <alignment horizontal="left"/>
    </xf>
    <xf numFmtId="170" fontId="16" fillId="9" borderId="9" xfId="0" applyNumberFormat="1" applyFont="1" applyFill="1" applyBorder="1" applyAlignment="1">
      <alignment horizontal="right"/>
    </xf>
    <xf numFmtId="170" fontId="16" fillId="9" borderId="8" xfId="0" applyNumberFormat="1" applyFont="1" applyFill="1" applyBorder="1" applyProtection="1">
      <protection locked="0"/>
    </xf>
    <xf numFmtId="170" fontId="16" fillId="9" borderId="3" xfId="0" applyNumberFormat="1" applyFont="1" applyFill="1" applyBorder="1" applyProtection="1">
      <protection locked="0"/>
    </xf>
    <xf numFmtId="4" fontId="18" fillId="5" borderId="65" xfId="0" applyNumberFormat="1" applyFont="1" applyFill="1" applyBorder="1" applyAlignment="1" applyProtection="1">
      <alignment horizontal="center"/>
      <protection locked="0"/>
    </xf>
    <xf numFmtId="4" fontId="18" fillId="5" borderId="54" xfId="0" applyNumberFormat="1" applyFont="1" applyFill="1" applyBorder="1" applyAlignment="1" applyProtection="1">
      <alignment horizontal="center"/>
      <protection locked="0"/>
    </xf>
    <xf numFmtId="168" fontId="16" fillId="5" borderId="46" xfId="0" applyNumberFormat="1" applyFont="1" applyFill="1" applyBorder="1" applyAlignment="1">
      <alignment horizontal="center"/>
    </xf>
    <xf numFmtId="168" fontId="16" fillId="5" borderId="48" xfId="0" applyNumberFormat="1" applyFont="1" applyFill="1" applyBorder="1" applyAlignment="1">
      <alignment horizontal="center"/>
    </xf>
    <xf numFmtId="4" fontId="16" fillId="0" borderId="46" xfId="0" applyNumberFormat="1" applyFont="1" applyBorder="1" applyAlignment="1" applyProtection="1">
      <alignment horizontal="center"/>
      <protection locked="0"/>
    </xf>
    <xf numFmtId="4" fontId="16" fillId="0" borderId="47" xfId="0" applyNumberFormat="1" applyFont="1" applyBorder="1" applyAlignment="1" applyProtection="1">
      <alignment horizontal="center"/>
      <protection locked="0"/>
    </xf>
    <xf numFmtId="167" fontId="11" fillId="0" borderId="0" xfId="3" applyNumberFormat="1" applyFont="1" applyProtection="1">
      <protection locked="0"/>
    </xf>
    <xf numFmtId="0" fontId="11" fillId="0" borderId="27" xfId="3" applyFont="1" applyBorder="1" applyProtection="1">
      <protection locked="0"/>
    </xf>
    <xf numFmtId="167" fontId="11" fillId="0" borderId="42" xfId="3" applyNumberFormat="1" applyFont="1" applyBorder="1"/>
    <xf numFmtId="167" fontId="11" fillId="0" borderId="42" xfId="3" applyNumberFormat="1" applyFont="1" applyBorder="1" applyProtection="1">
      <protection locked="0"/>
    </xf>
    <xf numFmtId="167" fontId="11" fillId="0" borderId="13" xfId="3" applyNumberFormat="1" applyFont="1" applyBorder="1"/>
    <xf numFmtId="0" fontId="7" fillId="0" borderId="14" xfId="3" applyFont="1" applyBorder="1" applyAlignment="1">
      <alignment horizontal="center"/>
    </xf>
    <xf numFmtId="167" fontId="11" fillId="0" borderId="10" xfId="3" applyNumberFormat="1" applyFont="1" applyBorder="1"/>
    <xf numFmtId="167" fontId="11" fillId="0" borderId="27" xfId="3" applyNumberFormat="1" applyFont="1" applyBorder="1"/>
    <xf numFmtId="0" fontId="17" fillId="9" borderId="0" xfId="5" applyFont="1" applyFill="1" applyAlignment="1">
      <alignment horizontal="right"/>
    </xf>
    <xf numFmtId="0" fontId="15" fillId="9" borderId="56" xfId="4" applyFont="1" applyFill="1" applyBorder="1" applyAlignment="1">
      <alignment horizontal="center"/>
    </xf>
    <xf numFmtId="170" fontId="16" fillId="9" borderId="57" xfId="4" applyNumberFormat="1" applyFont="1" applyFill="1" applyBorder="1" applyAlignment="1">
      <alignment horizontal="center"/>
    </xf>
    <xf numFmtId="0" fontId="15" fillId="9" borderId="46" xfId="4" applyFont="1" applyFill="1" applyBorder="1" applyAlignment="1">
      <alignment horizontal="center"/>
    </xf>
    <xf numFmtId="20" fontId="16" fillId="0" borderId="34" xfId="4" applyNumberFormat="1" applyFont="1" applyBorder="1" applyAlignment="1" applyProtection="1">
      <alignment horizontal="center"/>
      <protection locked="0"/>
    </xf>
    <xf numFmtId="167" fontId="16" fillId="11" borderId="25" xfId="1" applyNumberFormat="1" applyFont="1" applyFill="1" applyBorder="1" applyAlignment="1" applyProtection="1">
      <alignment horizontal="center"/>
    </xf>
    <xf numFmtId="167" fontId="16" fillId="0" borderId="16" xfId="1" applyNumberFormat="1" applyFont="1" applyFill="1" applyBorder="1" applyAlignment="1" applyProtection="1">
      <alignment horizontal="center"/>
    </xf>
    <xf numFmtId="4" fontId="16" fillId="0" borderId="63" xfId="0" applyNumberFormat="1" applyFont="1" applyBorder="1" applyAlignment="1">
      <alignment horizontal="center"/>
    </xf>
    <xf numFmtId="4" fontId="16" fillId="0" borderId="66" xfId="0" applyNumberFormat="1" applyFont="1" applyBorder="1" applyAlignment="1">
      <alignment horizontal="center"/>
    </xf>
    <xf numFmtId="4" fontId="16" fillId="0" borderId="46" xfId="0" applyNumberFormat="1" applyFont="1" applyBorder="1" applyAlignment="1">
      <alignment horizontal="center"/>
    </xf>
    <xf numFmtId="4" fontId="16" fillId="0" borderId="47" xfId="0" applyNumberFormat="1" applyFont="1" applyBorder="1" applyAlignment="1">
      <alignment horizontal="center"/>
    </xf>
    <xf numFmtId="168" fontId="16" fillId="0" borderId="46" xfId="0" applyNumberFormat="1" applyFont="1" applyBorder="1" applyAlignment="1">
      <alignment horizontal="center"/>
    </xf>
    <xf numFmtId="168" fontId="16" fillId="0" borderId="47" xfId="0" applyNumberFormat="1" applyFont="1" applyBorder="1" applyAlignment="1">
      <alignment horizontal="center"/>
    </xf>
    <xf numFmtId="6" fontId="15" fillId="0" borderId="21" xfId="0" applyNumberFormat="1" applyFont="1" applyBorder="1" applyAlignment="1" applyProtection="1">
      <alignment horizontal="center"/>
      <protection locked="0"/>
    </xf>
    <xf numFmtId="14" fontId="15" fillId="0" borderId="21" xfId="0" applyNumberFormat="1" applyFont="1" applyBorder="1" applyAlignment="1" applyProtection="1">
      <alignment horizontal="center"/>
      <protection locked="0"/>
    </xf>
    <xf numFmtId="15" fontId="6" fillId="12" borderId="0" xfId="3" applyNumberFormat="1" applyFont="1" applyFill="1" applyProtection="1">
      <protection locked="0"/>
    </xf>
    <xf numFmtId="0" fontId="15" fillId="9" borderId="25" xfId="4" applyFont="1" applyFill="1" applyBorder="1" applyAlignment="1">
      <alignment horizontal="center"/>
    </xf>
    <xf numFmtId="0" fontId="10" fillId="11" borderId="12" xfId="3" applyFont="1" applyFill="1" applyBorder="1" applyAlignment="1">
      <alignment horizontal="center"/>
    </xf>
    <xf numFmtId="167" fontId="11" fillId="11" borderId="28" xfId="3" applyNumberFormat="1" applyFont="1" applyFill="1" applyBorder="1" applyProtection="1">
      <protection locked="0"/>
    </xf>
    <xf numFmtId="167" fontId="11" fillId="11" borderId="29" xfId="3" applyNumberFormat="1" applyFont="1" applyFill="1" applyBorder="1" applyProtection="1">
      <protection locked="0"/>
    </xf>
    <xf numFmtId="167" fontId="11" fillId="0" borderId="41" xfId="3" applyNumberFormat="1" applyFont="1" applyBorder="1" applyAlignment="1" applyProtection="1">
      <alignment horizontal="center"/>
      <protection locked="0"/>
    </xf>
    <xf numFmtId="0" fontId="10" fillId="0" borderId="7" xfId="3" applyFont="1" applyBorder="1"/>
    <xf numFmtId="0" fontId="10" fillId="0" borderId="14" xfId="3" applyFont="1" applyBorder="1" applyAlignment="1">
      <alignment horizontal="center"/>
    </xf>
    <xf numFmtId="0" fontId="11" fillId="0" borderId="11" xfId="3" applyFont="1" applyBorder="1" applyProtection="1">
      <protection locked="0"/>
    </xf>
    <xf numFmtId="0" fontId="10" fillId="0" borderId="11" xfId="3" applyFont="1" applyBorder="1"/>
    <xf numFmtId="0" fontId="35" fillId="0" borderId="0" xfId="3" applyFont="1"/>
    <xf numFmtId="0" fontId="36" fillId="0" borderId="32" xfId="3" applyFont="1" applyBorder="1" applyAlignment="1" applyProtection="1">
      <alignment horizontal="left"/>
      <protection locked="0"/>
    </xf>
    <xf numFmtId="0" fontId="36" fillId="0" borderId="38" xfId="3" applyFont="1" applyBorder="1" applyAlignment="1" applyProtection="1">
      <alignment horizontal="center"/>
      <protection locked="0"/>
    </xf>
    <xf numFmtId="0" fontId="36" fillId="0" borderId="33" xfId="3" applyFont="1" applyBorder="1" applyAlignment="1" applyProtection="1">
      <alignment horizontal="center"/>
      <protection locked="0"/>
    </xf>
    <xf numFmtId="14" fontId="36" fillId="0" borderId="34" xfId="3" applyNumberFormat="1" applyFont="1" applyBorder="1" applyAlignment="1" applyProtection="1">
      <alignment horizontal="left"/>
      <protection locked="0"/>
    </xf>
    <xf numFmtId="14" fontId="36" fillId="0" borderId="21" xfId="3" applyNumberFormat="1" applyFont="1" applyBorder="1" applyAlignment="1" applyProtection="1">
      <alignment horizontal="center"/>
      <protection locked="0"/>
    </xf>
    <xf numFmtId="14" fontId="36" fillId="0" borderId="35" xfId="3" applyNumberFormat="1" applyFont="1" applyBorder="1" applyAlignment="1" applyProtection="1">
      <alignment horizontal="center"/>
      <protection locked="0"/>
    </xf>
    <xf numFmtId="14" fontId="35" fillId="0" borderId="0" xfId="3" applyNumberFormat="1" applyFont="1"/>
    <xf numFmtId="0" fontId="36" fillId="0" borderId="43" xfId="3" applyFont="1" applyBorder="1" applyAlignment="1" applyProtection="1">
      <alignment horizontal="left"/>
      <protection locked="0"/>
    </xf>
    <xf numFmtId="15" fontId="36" fillId="0" borderId="44" xfId="3" applyNumberFormat="1" applyFont="1" applyBorder="1" applyAlignment="1" applyProtection="1">
      <alignment horizontal="center"/>
      <protection locked="0"/>
    </xf>
    <xf numFmtId="20" fontId="36" fillId="0" borderId="44" xfId="3" applyNumberFormat="1" applyFont="1" applyBorder="1" applyAlignment="1" applyProtection="1">
      <alignment horizontal="center"/>
      <protection locked="0"/>
    </xf>
    <xf numFmtId="15" fontId="36" fillId="0" borderId="45" xfId="3" applyNumberFormat="1" applyFont="1" applyBorder="1" applyAlignment="1" applyProtection="1">
      <alignment horizontal="center"/>
      <protection locked="0"/>
    </xf>
    <xf numFmtId="167" fontId="36" fillId="0" borderId="38" xfId="3" applyNumberFormat="1" applyFont="1" applyBorder="1" applyAlignment="1" applyProtection="1">
      <alignment horizontal="right"/>
      <protection locked="0"/>
    </xf>
    <xf numFmtId="167" fontId="36" fillId="0" borderId="33" xfId="3" applyNumberFormat="1" applyFont="1" applyBorder="1" applyAlignment="1" applyProtection="1">
      <alignment horizontal="right"/>
      <protection locked="0"/>
    </xf>
    <xf numFmtId="0" fontId="36" fillId="0" borderId="56" xfId="3" applyFont="1" applyBorder="1" applyAlignment="1" applyProtection="1">
      <alignment horizontal="left"/>
      <protection locked="0"/>
    </xf>
    <xf numFmtId="0" fontId="36" fillId="0" borderId="34" xfId="3" applyFont="1" applyBorder="1" applyAlignment="1" applyProtection="1">
      <alignment horizontal="left"/>
      <protection locked="0"/>
    </xf>
    <xf numFmtId="167" fontId="36" fillId="0" borderId="21" xfId="3" applyNumberFormat="1" applyFont="1" applyBorder="1" applyAlignment="1" applyProtection="1">
      <alignment horizontal="right"/>
      <protection locked="0"/>
    </xf>
    <xf numFmtId="167" fontId="36" fillId="0" borderId="35" xfId="3" applyNumberFormat="1" applyFont="1" applyBorder="1" applyAlignment="1" applyProtection="1">
      <alignment horizontal="right"/>
      <protection locked="0"/>
    </xf>
    <xf numFmtId="167" fontId="35" fillId="0" borderId="21" xfId="3" applyNumberFormat="1" applyFont="1" applyBorder="1" applyAlignment="1" applyProtection="1">
      <alignment horizontal="right"/>
      <protection locked="0"/>
    </xf>
    <xf numFmtId="167" fontId="35" fillId="0" borderId="44" xfId="3" applyNumberFormat="1" applyFont="1" applyBorder="1" applyAlignment="1" applyProtection="1">
      <alignment horizontal="right"/>
      <protection locked="0"/>
    </xf>
    <xf numFmtId="173" fontId="36" fillId="0" borderId="32" xfId="3" applyNumberFormat="1" applyFont="1" applyBorder="1" applyAlignment="1" applyProtection="1">
      <alignment horizontal="left"/>
      <protection locked="0"/>
    </xf>
    <xf numFmtId="167" fontId="35" fillId="0" borderId="38" xfId="3" applyNumberFormat="1" applyFont="1" applyBorder="1" applyAlignment="1" applyProtection="1">
      <alignment horizontal="right"/>
      <protection locked="0"/>
    </xf>
    <xf numFmtId="167" fontId="35" fillId="0" borderId="38" xfId="3" applyNumberFormat="1" applyFont="1" applyBorder="1" applyProtection="1">
      <protection locked="0"/>
    </xf>
    <xf numFmtId="167" fontId="35" fillId="0" borderId="33" xfId="3" applyNumberFormat="1" applyFont="1" applyBorder="1" applyProtection="1">
      <protection locked="0"/>
    </xf>
    <xf numFmtId="173" fontId="36" fillId="0" borderId="34" xfId="3" applyNumberFormat="1" applyFont="1" applyBorder="1" applyAlignment="1" applyProtection="1">
      <alignment horizontal="left"/>
      <protection locked="0"/>
    </xf>
    <xf numFmtId="167" fontId="35" fillId="0" borderId="21" xfId="3" applyNumberFormat="1" applyFont="1" applyBorder="1" applyProtection="1">
      <protection locked="0"/>
    </xf>
    <xf numFmtId="167" fontId="35" fillId="0" borderId="35" xfId="3" applyNumberFormat="1" applyFont="1" applyBorder="1" applyProtection="1">
      <protection locked="0"/>
    </xf>
    <xf numFmtId="167" fontId="1" fillId="0" borderId="21" xfId="3" applyNumberFormat="1" applyFont="1" applyBorder="1" applyAlignment="1" applyProtection="1">
      <alignment horizontal="right"/>
      <protection locked="0"/>
    </xf>
    <xf numFmtId="0" fontId="36" fillId="0" borderId="36" xfId="3" applyFont="1" applyBorder="1" applyAlignment="1" applyProtection="1">
      <alignment horizontal="left"/>
      <protection locked="0"/>
    </xf>
    <xf numFmtId="167" fontId="35" fillId="0" borderId="60" xfId="3" applyNumberFormat="1" applyFont="1" applyBorder="1" applyAlignment="1" applyProtection="1">
      <alignment horizontal="right"/>
      <protection locked="0"/>
    </xf>
    <xf numFmtId="167" fontId="35" fillId="0" borderId="60" xfId="3" applyNumberFormat="1" applyFont="1" applyBorder="1" applyProtection="1">
      <protection locked="0"/>
    </xf>
    <xf numFmtId="167" fontId="35" fillId="0" borderId="37" xfId="3" applyNumberFormat="1" applyFont="1" applyBorder="1" applyProtection="1">
      <protection locked="0"/>
    </xf>
    <xf numFmtId="164" fontId="36" fillId="0" borderId="32" xfId="1" applyNumberFormat="1" applyFont="1" applyBorder="1" applyAlignment="1" applyProtection="1">
      <alignment horizontal="left"/>
      <protection locked="0"/>
    </xf>
    <xf numFmtId="164" fontId="36" fillId="0" borderId="34" xfId="1" applyNumberFormat="1" applyFont="1" applyBorder="1" applyAlignment="1" applyProtection="1">
      <alignment horizontal="left"/>
      <protection locked="0"/>
    </xf>
    <xf numFmtId="0" fontId="36" fillId="0" borderId="34" xfId="3" applyFont="1" applyBorder="1" applyAlignment="1">
      <alignment horizontal="left"/>
    </xf>
    <xf numFmtId="167" fontId="35" fillId="0" borderId="44" xfId="3" applyNumberFormat="1" applyFont="1" applyBorder="1" applyProtection="1">
      <protection locked="0"/>
    </xf>
    <xf numFmtId="0" fontId="36" fillId="0" borderId="53" xfId="3" applyFont="1" applyBorder="1" applyAlignment="1" applyProtection="1">
      <alignment horizontal="left"/>
      <protection locked="0"/>
    </xf>
    <xf numFmtId="0" fontId="35" fillId="0" borderId="0" xfId="3" applyFont="1" applyAlignment="1">
      <alignment horizontal="center"/>
    </xf>
    <xf numFmtId="0" fontId="36" fillId="0" borderId="46" xfId="3" applyFont="1" applyBorder="1" applyAlignment="1" applyProtection="1">
      <alignment horizontal="left"/>
      <protection locked="0"/>
    </xf>
    <xf numFmtId="0" fontId="36" fillId="0" borderId="47" xfId="3" applyFont="1" applyBorder="1" applyAlignment="1">
      <alignment horizontal="center"/>
    </xf>
    <xf numFmtId="167" fontId="36" fillId="0" borderId="47" xfId="3" applyNumberFormat="1" applyFont="1" applyBorder="1" applyAlignment="1" applyProtection="1">
      <alignment horizontal="center"/>
      <protection locked="0"/>
    </xf>
    <xf numFmtId="167" fontId="36" fillId="0" borderId="48" xfId="3" applyNumberFormat="1" applyFont="1" applyBorder="1" applyAlignment="1" applyProtection="1">
      <alignment horizontal="center"/>
      <protection locked="0"/>
    </xf>
    <xf numFmtId="0" fontId="35" fillId="0" borderId="0" xfId="3" applyFont="1" applyAlignment="1">
      <alignment horizontal="left"/>
    </xf>
    <xf numFmtId="167" fontId="35" fillId="0" borderId="61" xfId="3" applyNumberFormat="1" applyFont="1" applyBorder="1" applyAlignment="1" applyProtection="1">
      <alignment horizontal="right"/>
      <protection locked="0"/>
    </xf>
    <xf numFmtId="167" fontId="35" fillId="0" borderId="61" xfId="3" applyNumberFormat="1" applyFont="1" applyBorder="1" applyProtection="1">
      <protection locked="0"/>
    </xf>
    <xf numFmtId="165" fontId="36" fillId="0" borderId="68" xfId="3" applyNumberFormat="1" applyFont="1" applyBorder="1" applyAlignment="1">
      <alignment horizontal="right"/>
    </xf>
    <xf numFmtId="165" fontId="36" fillId="0" borderId="54" xfId="3" applyNumberFormat="1" applyFont="1" applyBorder="1" applyAlignment="1">
      <alignment horizontal="right"/>
    </xf>
    <xf numFmtId="0" fontId="36" fillId="0" borderId="46" xfId="3" applyFont="1" applyBorder="1" applyAlignment="1">
      <alignment horizontal="left"/>
    </xf>
    <xf numFmtId="167" fontId="36" fillId="0" borderId="47" xfId="3" applyNumberFormat="1" applyFont="1" applyBorder="1" applyAlignment="1">
      <alignment horizontal="right"/>
    </xf>
    <xf numFmtId="167" fontId="36" fillId="0" borderId="48" xfId="3" applyNumberFormat="1" applyFont="1" applyBorder="1" applyAlignment="1">
      <alignment horizontal="right"/>
    </xf>
    <xf numFmtId="0" fontId="24" fillId="9" borderId="0" xfId="4" applyFont="1" applyFill="1" applyAlignment="1" applyProtection="1">
      <alignment horizontal="left" wrapText="1"/>
      <protection locked="0"/>
    </xf>
    <xf numFmtId="0" fontId="23" fillId="9" borderId="0" xfId="4" applyFont="1" applyFill="1" applyAlignment="1">
      <alignment horizontal="right"/>
    </xf>
    <xf numFmtId="44" fontId="0" fillId="0" borderId="12" xfId="1" applyFont="1" applyBorder="1" applyProtection="1">
      <protection locked="0"/>
    </xf>
    <xf numFmtId="167" fontId="16" fillId="14" borderId="12" xfId="0" applyNumberFormat="1" applyFont="1" applyFill="1" applyBorder="1" applyAlignment="1">
      <alignment horizontal="center"/>
    </xf>
    <xf numFmtId="0" fontId="16" fillId="8" borderId="34" xfId="0" applyFont="1" applyFill="1" applyBorder="1"/>
    <xf numFmtId="0" fontId="16" fillId="14" borderId="36" xfId="0" applyFont="1" applyFill="1" applyBorder="1"/>
    <xf numFmtId="167" fontId="11" fillId="0" borderId="5" xfId="3" applyNumberFormat="1" applyFont="1" applyBorder="1" applyProtection="1">
      <protection locked="0"/>
    </xf>
    <xf numFmtId="0" fontId="15" fillId="9" borderId="8" xfId="4" applyFont="1" applyFill="1" applyBorder="1" applyAlignment="1">
      <alignment horizontal="center"/>
    </xf>
    <xf numFmtId="170" fontId="16" fillId="9" borderId="28" xfId="4" applyNumberFormat="1" applyFont="1" applyFill="1" applyBorder="1" applyAlignment="1">
      <alignment horizontal="center"/>
    </xf>
    <xf numFmtId="170" fontId="16" fillId="9" borderId="29" xfId="4" applyNumberFormat="1" applyFont="1" applyFill="1" applyBorder="1" applyAlignment="1">
      <alignment horizontal="center"/>
    </xf>
    <xf numFmtId="170" fontId="16" fillId="0" borderId="29" xfId="4" applyNumberFormat="1" applyFont="1" applyBorder="1" applyAlignment="1" applyProtection="1">
      <alignment horizontal="center" readingOrder="1"/>
      <protection locked="0"/>
    </xf>
    <xf numFmtId="170" fontId="16" fillId="9" borderId="42" xfId="4" applyNumberFormat="1" applyFont="1" applyFill="1" applyBorder="1" applyAlignment="1">
      <alignment horizontal="center"/>
    </xf>
    <xf numFmtId="0" fontId="15" fillId="9" borderId="69" xfId="4" applyFont="1" applyFill="1" applyBorder="1" applyAlignment="1">
      <alignment horizontal="center"/>
    </xf>
    <xf numFmtId="170" fontId="16" fillId="9" borderId="70" xfId="4" applyNumberFormat="1" applyFont="1" applyFill="1" applyBorder="1" applyAlignment="1">
      <alignment horizontal="center"/>
    </xf>
    <xf numFmtId="170" fontId="16" fillId="9" borderId="71" xfId="4" applyNumberFormat="1" applyFont="1" applyFill="1" applyBorder="1" applyAlignment="1">
      <alignment horizontal="center"/>
    </xf>
    <xf numFmtId="170" fontId="16" fillId="9" borderId="71" xfId="4" applyNumberFormat="1" applyFont="1" applyFill="1" applyBorder="1" applyAlignment="1" applyProtection="1">
      <alignment horizontal="center" readingOrder="1"/>
      <protection locked="0"/>
    </xf>
    <xf numFmtId="170" fontId="16" fillId="9" borderId="72" xfId="4" applyNumberFormat="1" applyFont="1" applyFill="1" applyBorder="1" applyAlignment="1">
      <alignment horizontal="center"/>
    </xf>
    <xf numFmtId="0" fontId="15" fillId="9" borderId="14" xfId="4" applyFont="1" applyFill="1" applyBorder="1" applyAlignment="1">
      <alignment horizontal="center"/>
    </xf>
    <xf numFmtId="0" fontId="15" fillId="9" borderId="24" xfId="4" applyFont="1" applyFill="1" applyBorder="1" applyAlignment="1">
      <alignment horizontal="center"/>
    </xf>
    <xf numFmtId="0" fontId="15" fillId="9" borderId="27" xfId="4" applyFont="1" applyFill="1" applyBorder="1" applyAlignment="1">
      <alignment horizontal="center"/>
    </xf>
    <xf numFmtId="0" fontId="38" fillId="9" borderId="0" xfId="5" applyFont="1" applyFill="1" applyAlignment="1">
      <alignment horizontal="right"/>
    </xf>
    <xf numFmtId="167" fontId="32" fillId="13" borderId="47" xfId="3" applyNumberFormat="1" applyFont="1" applyFill="1" applyBorder="1"/>
    <xf numFmtId="167" fontId="32" fillId="13" borderId="46" xfId="3" applyNumberFormat="1" applyFont="1" applyFill="1" applyBorder="1" applyAlignment="1">
      <alignment horizontal="left"/>
    </xf>
    <xf numFmtId="0" fontId="36" fillId="0" borderId="62" xfId="3" applyFont="1" applyBorder="1" applyAlignment="1">
      <alignment horizontal="left"/>
    </xf>
    <xf numFmtId="167" fontId="36" fillId="0" borderId="58" xfId="3" applyNumberFormat="1" applyFont="1" applyBorder="1"/>
    <xf numFmtId="167" fontId="36" fillId="0" borderId="59" xfId="3" applyNumberFormat="1" applyFont="1" applyBorder="1"/>
    <xf numFmtId="167" fontId="10" fillId="2" borderId="12" xfId="3" applyNumberFormat="1" applyFont="1" applyFill="1" applyBorder="1"/>
    <xf numFmtId="170" fontId="16" fillId="0" borderId="30" xfId="0" applyNumberFormat="1" applyFont="1" applyBorder="1" applyAlignment="1">
      <alignment horizontal="center"/>
    </xf>
    <xf numFmtId="167" fontId="15" fillId="0" borderId="3" xfId="0" applyNumberFormat="1" applyFont="1" applyBorder="1" applyAlignment="1">
      <alignment horizontal="center"/>
    </xf>
    <xf numFmtId="0" fontId="15" fillId="0" borderId="31" xfId="0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167" fontId="16" fillId="0" borderId="24" xfId="0" applyNumberFormat="1" applyFont="1" applyBorder="1" applyAlignment="1" applyProtection="1">
      <alignment horizontal="center"/>
      <protection locked="0"/>
    </xf>
    <xf numFmtId="167" fontId="16" fillId="8" borderId="27" xfId="0" applyNumberFormat="1" applyFont="1" applyFill="1" applyBorder="1" applyAlignment="1" applyProtection="1">
      <alignment horizontal="center"/>
      <protection locked="0"/>
    </xf>
    <xf numFmtId="0" fontId="10" fillId="5" borderId="12" xfId="3" applyFont="1" applyFill="1" applyBorder="1" applyAlignment="1">
      <alignment horizontal="center"/>
    </xf>
    <xf numFmtId="167" fontId="11" fillId="5" borderId="28" xfId="3" applyNumberFormat="1" applyFont="1" applyFill="1" applyBorder="1"/>
    <xf numFmtId="167" fontId="11" fillId="5" borderId="29" xfId="3" applyNumberFormat="1" applyFont="1" applyFill="1" applyBorder="1"/>
    <xf numFmtId="167" fontId="11" fillId="5" borderId="12" xfId="3" applyNumberFormat="1" applyFont="1" applyFill="1" applyBorder="1"/>
    <xf numFmtId="167" fontId="11" fillId="5" borderId="42" xfId="3" applyNumberFormat="1" applyFont="1" applyFill="1" applyBorder="1"/>
    <xf numFmtId="167" fontId="11" fillId="5" borderId="11" xfId="3" applyNumberFormat="1" applyFont="1" applyFill="1" applyBorder="1"/>
    <xf numFmtId="167" fontId="11" fillId="5" borderId="6" xfId="3" applyNumberFormat="1" applyFont="1" applyFill="1" applyBorder="1"/>
    <xf numFmtId="0" fontId="15" fillId="5" borderId="12" xfId="0" applyFont="1" applyFill="1" applyBorder="1"/>
    <xf numFmtId="167" fontId="11" fillId="5" borderId="25" xfId="3" applyNumberFormat="1" applyFont="1" applyFill="1" applyBorder="1"/>
    <xf numFmtId="167" fontId="10" fillId="4" borderId="28" xfId="3" applyNumberFormat="1" applyFont="1" applyFill="1" applyBorder="1"/>
    <xf numFmtId="0" fontId="10" fillId="2" borderId="10" xfId="3" applyFont="1" applyFill="1" applyBorder="1"/>
    <xf numFmtId="0" fontId="10" fillId="0" borderId="24" xfId="3" applyFont="1" applyBorder="1"/>
    <xf numFmtId="0" fontId="11" fillId="0" borderId="55" xfId="3" applyFont="1" applyBorder="1"/>
    <xf numFmtId="0" fontId="11" fillId="0" borderId="9" xfId="3" applyFont="1" applyBorder="1" applyProtection="1">
      <protection locked="0"/>
    </xf>
    <xf numFmtId="167" fontId="11" fillId="0" borderId="55" xfId="3" applyNumberFormat="1" applyFont="1" applyBorder="1"/>
    <xf numFmtId="167" fontId="11" fillId="0" borderId="7" xfId="3" applyNumberFormat="1" applyFont="1" applyBorder="1"/>
    <xf numFmtId="167" fontId="11" fillId="0" borderId="51" xfId="3" applyNumberFormat="1" applyFont="1" applyBorder="1" applyProtection="1">
      <protection locked="0"/>
    </xf>
    <xf numFmtId="167" fontId="11" fillId="0" borderId="19" xfId="3" applyNumberFormat="1" applyFont="1" applyBorder="1" applyProtection="1">
      <protection locked="0"/>
    </xf>
    <xf numFmtId="167" fontId="11" fillId="0" borderId="12" xfId="3" applyNumberFormat="1" applyFont="1" applyBorder="1" applyProtection="1">
      <protection locked="0"/>
    </xf>
    <xf numFmtId="167" fontId="11" fillId="0" borderId="52" xfId="3" applyNumberFormat="1" applyFont="1" applyBorder="1" applyProtection="1">
      <protection locked="0"/>
    </xf>
    <xf numFmtId="167" fontId="11" fillId="0" borderId="11" xfId="3" applyNumberFormat="1" applyFont="1" applyBorder="1" applyProtection="1">
      <protection locked="0"/>
    </xf>
    <xf numFmtId="167" fontId="10" fillId="0" borderId="12" xfId="3" applyNumberFormat="1" applyFont="1" applyBorder="1"/>
    <xf numFmtId="4" fontId="16" fillId="5" borderId="48" xfId="0" applyNumberFormat="1" applyFont="1" applyFill="1" applyBorder="1" applyAlignment="1" applyProtection="1">
      <alignment horizontal="center"/>
      <protection locked="0"/>
    </xf>
    <xf numFmtId="4" fontId="16" fillId="5" borderId="67" xfId="0" applyNumberFormat="1" applyFont="1" applyFill="1" applyBorder="1" applyAlignment="1">
      <alignment horizontal="center"/>
    </xf>
    <xf numFmtId="4" fontId="16" fillId="5" borderId="48" xfId="0" applyNumberFormat="1" applyFont="1" applyFill="1" applyBorder="1" applyAlignment="1">
      <alignment horizontal="center"/>
    </xf>
    <xf numFmtId="167" fontId="11" fillId="0" borderId="15" xfId="3" applyNumberFormat="1" applyFont="1" applyBorder="1" applyAlignment="1" applyProtection="1">
      <alignment horizontal="center"/>
      <protection locked="0"/>
    </xf>
    <xf numFmtId="0" fontId="15" fillId="5" borderId="12" xfId="0" applyFont="1" applyFill="1" applyBorder="1" applyAlignment="1">
      <alignment horizontal="center"/>
    </xf>
    <xf numFmtId="167" fontId="11" fillId="5" borderId="19" xfId="3" applyNumberFormat="1" applyFont="1" applyFill="1" applyBorder="1"/>
    <xf numFmtId="170" fontId="15" fillId="9" borderId="48" xfId="4" applyNumberFormat="1" applyFont="1" applyFill="1" applyBorder="1" applyAlignment="1">
      <alignment horizontal="center"/>
    </xf>
    <xf numFmtId="0" fontId="36" fillId="0" borderId="47" xfId="3" applyFont="1" applyBorder="1" applyAlignment="1" applyProtection="1">
      <alignment horizontal="center"/>
      <protection locked="0"/>
    </xf>
    <xf numFmtId="0" fontId="35" fillId="0" borderId="0" xfId="3" applyFont="1" applyAlignment="1" applyProtection="1">
      <alignment horizontal="center"/>
      <protection locked="0"/>
    </xf>
    <xf numFmtId="0" fontId="10" fillId="5" borderId="12" xfId="3" applyFont="1" applyFill="1" applyBorder="1"/>
    <xf numFmtId="0" fontId="7" fillId="5" borderId="12" xfId="3" applyFont="1" applyFill="1" applyBorder="1" applyAlignment="1">
      <alignment horizontal="center"/>
    </xf>
    <xf numFmtId="0" fontId="11" fillId="5" borderId="25" xfId="3" applyFont="1" applyFill="1" applyBorder="1" applyProtection="1">
      <protection locked="0"/>
    </xf>
    <xf numFmtId="167" fontId="11" fillId="5" borderId="16" xfId="3" applyNumberFormat="1" applyFont="1" applyFill="1" applyBorder="1" applyProtection="1">
      <protection locked="0"/>
    </xf>
    <xf numFmtId="167" fontId="11" fillId="5" borderId="25" xfId="3" applyNumberFormat="1" applyFont="1" applyFill="1" applyBorder="1" applyProtection="1">
      <protection locked="0"/>
    </xf>
    <xf numFmtId="167" fontId="11" fillId="5" borderId="29" xfId="3" applyNumberFormat="1" applyFont="1" applyFill="1" applyBorder="1" applyProtection="1">
      <protection locked="0"/>
    </xf>
    <xf numFmtId="167" fontId="11" fillId="5" borderId="24" xfId="3" applyNumberFormat="1" applyFont="1" applyFill="1" applyBorder="1"/>
    <xf numFmtId="167" fontId="11" fillId="5" borderId="23" xfId="3" applyNumberFormat="1" applyFont="1" applyFill="1" applyBorder="1"/>
    <xf numFmtId="0" fontId="10" fillId="5" borderId="0" xfId="3" applyFont="1" applyFill="1"/>
    <xf numFmtId="4" fontId="11" fillId="5" borderId="0" xfId="3" applyNumberFormat="1" applyFont="1" applyFill="1" applyProtection="1">
      <protection locked="0"/>
    </xf>
    <xf numFmtId="167" fontId="11" fillId="5" borderId="0" xfId="3" applyNumberFormat="1" applyFont="1" applyFill="1"/>
    <xf numFmtId="0" fontId="11" fillId="5" borderId="0" xfId="3" applyFont="1" applyFill="1"/>
    <xf numFmtId="0" fontId="10" fillId="5" borderId="0" xfId="3" applyFont="1" applyFill="1" applyAlignment="1">
      <alignment horizontal="right"/>
    </xf>
    <xf numFmtId="167" fontId="10" fillId="5" borderId="12" xfId="3" applyNumberFormat="1" applyFont="1" applyFill="1" applyBorder="1"/>
    <xf numFmtId="0" fontId="11" fillId="5" borderId="0" xfId="3" applyFont="1" applyFill="1" applyProtection="1">
      <protection locked="0"/>
    </xf>
    <xf numFmtId="0" fontId="5" fillId="5" borderId="0" xfId="3" applyFill="1"/>
    <xf numFmtId="0" fontId="15" fillId="5" borderId="9" xfId="0" applyFont="1" applyFill="1" applyBorder="1" applyAlignment="1">
      <alignment horizontal="center"/>
    </xf>
    <xf numFmtId="167" fontId="16" fillId="5" borderId="38" xfId="1" applyNumberFormat="1" applyFont="1" applyFill="1" applyBorder="1" applyAlignment="1" applyProtection="1">
      <alignment horizontal="center"/>
    </xf>
    <xf numFmtId="167" fontId="16" fillId="5" borderId="21" xfId="1" applyNumberFormat="1" applyFont="1" applyFill="1" applyBorder="1" applyAlignment="1" applyProtection="1">
      <alignment horizontal="center"/>
    </xf>
    <xf numFmtId="167" fontId="16" fillId="5" borderId="44" xfId="1" applyNumberFormat="1" applyFont="1" applyFill="1" applyBorder="1" applyAlignment="1" applyProtection="1">
      <alignment horizontal="center"/>
    </xf>
    <xf numFmtId="167" fontId="15" fillId="5" borderId="46" xfId="1" applyNumberFormat="1" applyFont="1" applyFill="1" applyBorder="1" applyAlignment="1" applyProtection="1">
      <alignment horizontal="center"/>
    </xf>
    <xf numFmtId="167" fontId="15" fillId="5" borderId="47" xfId="1" applyNumberFormat="1" applyFont="1" applyFill="1" applyBorder="1" applyAlignment="1" applyProtection="1">
      <alignment horizontal="center"/>
    </xf>
    <xf numFmtId="167" fontId="16" fillId="5" borderId="24" xfId="0" applyNumberFormat="1" applyFont="1" applyFill="1" applyBorder="1" applyAlignment="1">
      <alignment horizontal="center"/>
    </xf>
    <xf numFmtId="167" fontId="16" fillId="5" borderId="25" xfId="0" applyNumberFormat="1" applyFont="1" applyFill="1" applyBorder="1" applyAlignment="1">
      <alignment horizontal="center"/>
    </xf>
    <xf numFmtId="167" fontId="16" fillId="5" borderId="26" xfId="0" applyNumberFormat="1" applyFont="1" applyFill="1" applyBorder="1" applyAlignment="1">
      <alignment horizontal="center"/>
    </xf>
    <xf numFmtId="167" fontId="16" fillId="5" borderId="12" xfId="0" applyNumberFormat="1" applyFont="1" applyFill="1" applyBorder="1" applyAlignment="1">
      <alignment horizontal="center"/>
    </xf>
    <xf numFmtId="167" fontId="15" fillId="5" borderId="25" xfId="0" applyNumberFormat="1" applyFont="1" applyFill="1" applyBorder="1" applyAlignment="1">
      <alignment horizontal="center"/>
    </xf>
    <xf numFmtId="2" fontId="10" fillId="0" borderId="5" xfId="3" applyNumberFormat="1" applyFont="1" applyBorder="1"/>
    <xf numFmtId="2" fontId="11" fillId="0" borderId="14" xfId="3" applyNumberFormat="1" applyFont="1" applyBorder="1" applyProtection="1">
      <protection locked="0"/>
    </xf>
    <xf numFmtId="0" fontId="11" fillId="0" borderId="13" xfId="3" applyFont="1" applyBorder="1" applyProtection="1">
      <protection locked="0"/>
    </xf>
    <xf numFmtId="0" fontId="11" fillId="5" borderId="34" xfId="3" applyFont="1" applyFill="1" applyBorder="1"/>
    <xf numFmtId="167" fontId="11" fillId="5" borderId="35" xfId="3" applyNumberFormat="1" applyFont="1" applyFill="1" applyBorder="1"/>
    <xf numFmtId="0" fontId="11" fillId="5" borderId="36" xfId="3" applyFont="1" applyFill="1" applyBorder="1"/>
    <xf numFmtId="167" fontId="11" fillId="5" borderId="37" xfId="3" applyNumberFormat="1" applyFont="1" applyFill="1" applyBorder="1"/>
    <xf numFmtId="0" fontId="11" fillId="0" borderId="7" xfId="3" applyFont="1" applyBorder="1" applyAlignment="1">
      <alignment horizontal="left"/>
    </xf>
    <xf numFmtId="0" fontId="11" fillId="0" borderId="10" xfId="3" applyFont="1" applyBorder="1" applyAlignment="1">
      <alignment horizontal="left"/>
    </xf>
    <xf numFmtId="0" fontId="15" fillId="5" borderId="25" xfId="4" applyFont="1" applyFill="1" applyBorder="1" applyAlignment="1">
      <alignment horizontal="center"/>
    </xf>
    <xf numFmtId="170" fontId="16" fillId="5" borderId="29" xfId="4" applyNumberFormat="1" applyFont="1" applyFill="1" applyBorder="1" applyAlignment="1">
      <alignment horizontal="center"/>
    </xf>
    <xf numFmtId="170" fontId="16" fillId="5" borderId="71" xfId="4" applyNumberFormat="1" applyFont="1" applyFill="1" applyBorder="1" applyAlignment="1">
      <alignment horizontal="center"/>
    </xf>
    <xf numFmtId="170" fontId="16" fillId="5" borderId="35" xfId="4" applyNumberFormat="1" applyFont="1" applyFill="1" applyBorder="1" applyAlignment="1">
      <alignment horizontal="center"/>
    </xf>
    <xf numFmtId="169" fontId="24" fillId="0" borderId="0" xfId="4" applyNumberFormat="1" applyFont="1" applyAlignment="1">
      <alignment horizontal="center" wrapText="1"/>
    </xf>
    <xf numFmtId="169" fontId="24" fillId="0" borderId="0" xfId="4" applyNumberFormat="1" applyFont="1" applyAlignment="1" applyProtection="1">
      <alignment horizontal="center" wrapText="1"/>
      <protection locked="0"/>
    </xf>
    <xf numFmtId="42" fontId="0" fillId="5" borderId="56" xfId="1" applyNumberFormat="1" applyFont="1" applyFill="1" applyBorder="1" applyProtection="1"/>
    <xf numFmtId="44" fontId="0" fillId="5" borderId="57" xfId="1" applyFont="1" applyFill="1" applyBorder="1" applyProtection="1">
      <protection locked="0"/>
    </xf>
    <xf numFmtId="42" fontId="0" fillId="5" borderId="34" xfId="1" applyNumberFormat="1" applyFont="1" applyFill="1" applyBorder="1" applyProtection="1"/>
    <xf numFmtId="44" fontId="0" fillId="5" borderId="35" xfId="1" applyFont="1" applyFill="1" applyBorder="1" applyProtection="1">
      <protection locked="0"/>
    </xf>
    <xf numFmtId="42" fontId="5" fillId="5" borderId="43" xfId="1" applyNumberFormat="1" applyFont="1" applyFill="1" applyBorder="1" applyAlignment="1" applyProtection="1">
      <alignment horizontal="left"/>
    </xf>
    <xf numFmtId="44" fontId="0" fillId="5" borderId="45" xfId="1" applyFont="1" applyFill="1" applyBorder="1" applyProtection="1"/>
    <xf numFmtId="0" fontId="5" fillId="5" borderId="36" xfId="3" applyFill="1" applyBorder="1"/>
    <xf numFmtId="44" fontId="0" fillId="5" borderId="45" xfId="1" applyFont="1" applyFill="1" applyBorder="1" applyProtection="1">
      <protection locked="0"/>
    </xf>
    <xf numFmtId="0" fontId="5" fillId="5" borderId="10" xfId="3" applyFill="1" applyBorder="1"/>
    <xf numFmtId="44" fontId="0" fillId="5" borderId="12" xfId="1" applyFont="1" applyFill="1" applyBorder="1" applyProtection="1"/>
    <xf numFmtId="0" fontId="5" fillId="5" borderId="6" xfId="3" applyFill="1" applyBorder="1"/>
    <xf numFmtId="44" fontId="0" fillId="5" borderId="6" xfId="1" applyFont="1" applyFill="1" applyBorder="1" applyProtection="1"/>
    <xf numFmtId="44" fontId="0" fillId="5" borderId="56" xfId="1" applyFont="1" applyFill="1" applyBorder="1" applyProtection="1">
      <protection locked="0"/>
    </xf>
    <xf numFmtId="44" fontId="0" fillId="5" borderId="34" xfId="1" applyFont="1" applyFill="1" applyBorder="1" applyProtection="1">
      <protection locked="0"/>
    </xf>
    <xf numFmtId="44" fontId="0" fillId="5" borderId="43" xfId="1" applyFont="1" applyFill="1" applyBorder="1" applyProtection="1">
      <protection locked="0"/>
    </xf>
    <xf numFmtId="0" fontId="7" fillId="5" borderId="12" xfId="3" applyFont="1" applyFill="1" applyBorder="1"/>
    <xf numFmtId="44" fontId="5" fillId="5" borderId="5" xfId="3" applyNumberFormat="1" applyFill="1" applyBorder="1"/>
    <xf numFmtId="49" fontId="7" fillId="5" borderId="12" xfId="3" applyNumberFormat="1" applyFont="1" applyFill="1" applyBorder="1" applyAlignment="1">
      <alignment horizontal="left"/>
    </xf>
    <xf numFmtId="40" fontId="5" fillId="5" borderId="5" xfId="3" applyNumberFormat="1" applyFill="1" applyBorder="1"/>
    <xf numFmtId="0" fontId="7" fillId="5" borderId="11" xfId="3" applyFont="1" applyFill="1" applyBorder="1" applyAlignment="1">
      <alignment horizontal="right"/>
    </xf>
    <xf numFmtId="0" fontId="5" fillId="5" borderId="12" xfId="3" applyFill="1" applyBorder="1" applyProtection="1">
      <protection locked="0"/>
    </xf>
    <xf numFmtId="0" fontId="7" fillId="0" borderId="11" xfId="3" applyFont="1" applyBorder="1"/>
    <xf numFmtId="0" fontId="11" fillId="0" borderId="0" xfId="0" applyFont="1" applyAlignment="1" applyProtection="1">
      <alignment wrapText="1"/>
      <protection locked="0"/>
    </xf>
    <xf numFmtId="0" fontId="25" fillId="9" borderId="1" xfId="4" applyFont="1" applyFill="1" applyBorder="1" applyAlignment="1">
      <alignment horizontal="right"/>
    </xf>
    <xf numFmtId="0" fontId="25" fillId="9" borderId="16" xfId="4" applyFont="1" applyFill="1" applyBorder="1" applyAlignment="1">
      <alignment horizontal="right"/>
    </xf>
    <xf numFmtId="0" fontId="25" fillId="9" borderId="40" xfId="4" applyFont="1" applyFill="1" applyBorder="1" applyAlignment="1">
      <alignment horizontal="right"/>
    </xf>
    <xf numFmtId="0" fontId="15" fillId="9" borderId="46" xfId="4" applyFont="1" applyFill="1" applyBorder="1" applyAlignment="1">
      <alignment horizontal="right"/>
    </xf>
    <xf numFmtId="0" fontId="15" fillId="9" borderId="47" xfId="4" applyFont="1" applyFill="1" applyBorder="1" applyAlignment="1">
      <alignment horizontal="center"/>
    </xf>
    <xf numFmtId="0" fontId="40" fillId="9" borderId="48" xfId="4" applyFont="1" applyFill="1" applyBorder="1" applyAlignment="1">
      <alignment horizontal="center"/>
    </xf>
    <xf numFmtId="0" fontId="15" fillId="9" borderId="1" xfId="4" applyFont="1" applyFill="1" applyBorder="1" applyAlignment="1">
      <alignment horizontal="right"/>
    </xf>
    <xf numFmtId="170" fontId="16" fillId="9" borderId="24" xfId="4" applyNumberFormat="1" applyFont="1" applyFill="1" applyBorder="1" applyAlignment="1">
      <alignment horizontal="center"/>
    </xf>
    <xf numFmtId="0" fontId="15" fillId="9" borderId="16" xfId="4" applyFont="1" applyFill="1" applyBorder="1" applyAlignment="1">
      <alignment horizontal="right"/>
    </xf>
    <xf numFmtId="170" fontId="16" fillId="9" borderId="25" xfId="4" applyNumberFormat="1" applyFont="1" applyFill="1" applyBorder="1" applyAlignment="1">
      <alignment horizontal="center"/>
    </xf>
    <xf numFmtId="170" fontId="16" fillId="9" borderId="25" xfId="4" applyNumberFormat="1" applyFont="1" applyFill="1" applyBorder="1" applyAlignment="1">
      <alignment horizontal="center" readingOrder="1"/>
    </xf>
    <xf numFmtId="0" fontId="32" fillId="5" borderId="11" xfId="4" applyFont="1" applyFill="1" applyBorder="1" applyAlignment="1">
      <alignment horizontal="right"/>
    </xf>
    <xf numFmtId="170" fontId="32" fillId="5" borderId="12" xfId="4" applyNumberFormat="1" applyFont="1" applyFill="1" applyBorder="1" applyAlignment="1">
      <alignment horizontal="center"/>
    </xf>
    <xf numFmtId="3" fontId="32" fillId="5" borderId="5" xfId="4" applyNumberFormat="1" applyFont="1" applyFill="1" applyBorder="1" applyAlignment="1">
      <alignment horizontal="center"/>
    </xf>
    <xf numFmtId="0" fontId="16" fillId="0" borderId="0" xfId="4" applyFont="1" applyAlignment="1" applyProtection="1">
      <alignment horizontal="center"/>
      <protection locked="0"/>
    </xf>
    <xf numFmtId="49" fontId="23" fillId="0" borderId="0" xfId="4" applyNumberFormat="1" applyFont="1" applyAlignment="1" applyProtection="1">
      <alignment horizontal="center"/>
      <protection locked="0"/>
    </xf>
    <xf numFmtId="0" fontId="10" fillId="9" borderId="50" xfId="0" applyFont="1" applyFill="1" applyBorder="1" applyAlignment="1" applyProtection="1">
      <alignment horizontal="center" wrapText="1"/>
      <protection locked="0"/>
    </xf>
    <xf numFmtId="0" fontId="10" fillId="9" borderId="73" xfId="0" applyFont="1" applyFill="1" applyBorder="1" applyAlignment="1" applyProtection="1">
      <alignment horizontal="center" wrapText="1"/>
      <protection locked="0"/>
    </xf>
    <xf numFmtId="169" fontId="24" fillId="9" borderId="12" xfId="4" applyNumberFormat="1" applyFont="1" applyFill="1" applyBorder="1" applyAlignment="1" applyProtection="1">
      <alignment horizontal="center" wrapText="1"/>
      <protection locked="0"/>
    </xf>
    <xf numFmtId="0" fontId="15" fillId="9" borderId="11" xfId="0" applyFont="1" applyFill="1" applyBorder="1" applyAlignment="1" applyProtection="1">
      <alignment horizontal="center" wrapText="1"/>
      <protection locked="0"/>
    </xf>
    <xf numFmtId="0" fontId="26" fillId="9" borderId="12" xfId="4" applyFont="1" applyFill="1" applyBorder="1" applyAlignment="1">
      <alignment horizontal="center"/>
    </xf>
    <xf numFmtId="10" fontId="23" fillId="9" borderId="1" xfId="4" applyNumberFormat="1" applyFont="1" applyFill="1" applyBorder="1" applyAlignment="1">
      <alignment horizontal="center" wrapText="1"/>
    </xf>
    <xf numFmtId="10" fontId="23" fillId="9" borderId="16" xfId="4" applyNumberFormat="1" applyFont="1" applyFill="1" applyBorder="1" applyAlignment="1">
      <alignment horizontal="center" wrapText="1"/>
    </xf>
    <xf numFmtId="10" fontId="23" fillId="9" borderId="40" xfId="4" applyNumberFormat="1" applyFont="1" applyFill="1" applyBorder="1" applyAlignment="1">
      <alignment horizontal="center" wrapText="1"/>
    </xf>
    <xf numFmtId="3" fontId="24" fillId="9" borderId="24" xfId="4" applyNumberFormat="1" applyFont="1" applyFill="1" applyBorder="1" applyAlignment="1" applyProtection="1">
      <alignment horizontal="center" wrapText="1"/>
      <protection locked="0"/>
    </xf>
    <xf numFmtId="3" fontId="24" fillId="9" borderId="25" xfId="4" applyNumberFormat="1" applyFont="1" applyFill="1" applyBorder="1" applyAlignment="1" applyProtection="1">
      <alignment horizontal="center" wrapText="1"/>
      <protection locked="0"/>
    </xf>
    <xf numFmtId="3" fontId="24" fillId="9" borderId="27" xfId="4" applyNumberFormat="1" applyFont="1" applyFill="1" applyBorder="1" applyAlignment="1" applyProtection="1">
      <alignment horizontal="center" wrapText="1"/>
      <protection locked="0"/>
    </xf>
    <xf numFmtId="3" fontId="23" fillId="9" borderId="18" xfId="4" applyNumberFormat="1" applyFont="1" applyFill="1" applyBorder="1" applyAlignment="1" applyProtection="1">
      <alignment horizontal="center" wrapText="1"/>
      <protection locked="0"/>
    </xf>
    <xf numFmtId="3" fontId="23" fillId="9" borderId="19" xfId="4" applyNumberFormat="1" applyFont="1" applyFill="1" applyBorder="1" applyAlignment="1" applyProtection="1">
      <alignment horizontal="center" wrapText="1"/>
      <protection locked="0"/>
    </xf>
    <xf numFmtId="3" fontId="23" fillId="9" borderId="52" xfId="4" applyNumberFormat="1" applyFont="1" applyFill="1" applyBorder="1" applyAlignment="1" applyProtection="1">
      <alignment horizontal="center" wrapText="1"/>
      <protection locked="0"/>
    </xf>
    <xf numFmtId="10" fontId="23" fillId="9" borderId="23" xfId="4" applyNumberFormat="1" applyFont="1" applyFill="1" applyBorder="1" applyProtection="1">
      <protection locked="0"/>
    </xf>
    <xf numFmtId="10" fontId="23" fillId="9" borderId="25" xfId="4" applyNumberFormat="1" applyFont="1" applyFill="1" applyBorder="1" applyProtection="1">
      <protection locked="0"/>
    </xf>
    <xf numFmtId="10" fontId="23" fillId="9" borderId="27" xfId="4" applyNumberFormat="1" applyFont="1" applyFill="1" applyBorder="1" applyProtection="1">
      <protection locked="0"/>
    </xf>
    <xf numFmtId="3" fontId="23" fillId="9" borderId="41" xfId="4" applyNumberFormat="1" applyFont="1" applyFill="1" applyBorder="1" applyAlignment="1" applyProtection="1">
      <alignment horizontal="center"/>
      <protection locked="0"/>
    </xf>
    <xf numFmtId="3" fontId="23" fillId="9" borderId="29" xfId="4" applyNumberFormat="1" applyFont="1" applyFill="1" applyBorder="1" applyAlignment="1" applyProtection="1">
      <alignment horizontal="center"/>
      <protection locked="0"/>
    </xf>
    <xf numFmtId="0" fontId="42" fillId="0" borderId="12" xfId="0" applyFont="1" applyBorder="1"/>
    <xf numFmtId="0" fontId="24" fillId="5" borderId="15" xfId="4" applyFont="1" applyFill="1" applyBorder="1" applyAlignment="1">
      <alignment horizontal="right"/>
    </xf>
    <xf numFmtId="0" fontId="24" fillId="5" borderId="13" xfId="4" applyFont="1" applyFill="1" applyBorder="1" applyAlignment="1">
      <alignment horizontal="right"/>
    </xf>
    <xf numFmtId="0" fontId="25" fillId="5" borderId="15" xfId="4" applyFont="1" applyFill="1" applyBorder="1" applyAlignment="1">
      <alignment horizontal="right"/>
    </xf>
    <xf numFmtId="0" fontId="24" fillId="9" borderId="23" xfId="4" applyFont="1" applyFill="1" applyBorder="1" applyAlignment="1">
      <alignment horizontal="right"/>
    </xf>
    <xf numFmtId="0" fontId="42" fillId="0" borderId="12" xfId="0" applyFont="1" applyBorder="1" applyAlignment="1">
      <alignment horizontal="left"/>
    </xf>
    <xf numFmtId="0" fontId="23" fillId="0" borderId="0" xfId="4" applyFont="1" applyProtection="1">
      <protection locked="0"/>
    </xf>
    <xf numFmtId="0" fontId="0" fillId="0" borderId="12" xfId="0" applyBorder="1" applyProtection="1">
      <protection locked="0"/>
    </xf>
    <xf numFmtId="0" fontId="26" fillId="9" borderId="46" xfId="4" applyFont="1" applyFill="1" applyBorder="1" applyAlignment="1" applyProtection="1">
      <alignment horizontal="center"/>
      <protection locked="0"/>
    </xf>
    <xf numFmtId="0" fontId="23" fillId="9" borderId="50" xfId="4" applyFont="1" applyFill="1" applyBorder="1" applyProtection="1">
      <protection locked="0"/>
    </xf>
    <xf numFmtId="0" fontId="26" fillId="9" borderId="12" xfId="0" applyFont="1" applyFill="1" applyBorder="1" applyAlignment="1" applyProtection="1">
      <alignment horizontal="center"/>
      <protection locked="0"/>
    </xf>
    <xf numFmtId="0" fontId="26" fillId="9" borderId="24" xfId="4" applyFont="1" applyFill="1" applyBorder="1" applyProtection="1">
      <protection locked="0"/>
    </xf>
    <xf numFmtId="166" fontId="23" fillId="9" borderId="18" xfId="4" applyNumberFormat="1" applyFont="1" applyFill="1" applyBorder="1" applyAlignment="1" applyProtection="1">
      <alignment horizontal="center"/>
      <protection locked="0"/>
    </xf>
    <xf numFmtId="10" fontId="23" fillId="9" borderId="23" xfId="0" applyNumberFormat="1" applyFont="1" applyFill="1" applyBorder="1" applyAlignment="1" applyProtection="1">
      <alignment horizontal="center"/>
      <protection locked="0"/>
    </xf>
    <xf numFmtId="0" fontId="26" fillId="9" borderId="25" xfId="4" applyFont="1" applyFill="1" applyBorder="1" applyProtection="1">
      <protection locked="0"/>
    </xf>
    <xf numFmtId="166" fontId="23" fillId="9" borderId="19" xfId="4" applyNumberFormat="1" applyFont="1" applyFill="1" applyBorder="1" applyAlignment="1" applyProtection="1">
      <alignment horizontal="center"/>
      <protection locked="0"/>
    </xf>
    <xf numFmtId="10" fontId="23" fillId="9" borderId="25" xfId="0" applyNumberFormat="1" applyFont="1" applyFill="1" applyBorder="1" applyAlignment="1" applyProtection="1">
      <alignment horizontal="center"/>
      <protection locked="0"/>
    </xf>
    <xf numFmtId="166" fontId="26" fillId="9" borderId="19" xfId="4" applyNumberFormat="1" applyFont="1" applyFill="1" applyBorder="1" applyAlignment="1" applyProtection="1">
      <alignment horizontal="center"/>
      <protection locked="0"/>
    </xf>
    <xf numFmtId="0" fontId="23" fillId="9" borderId="19" xfId="4" applyFont="1" applyFill="1" applyBorder="1" applyAlignment="1" applyProtection="1">
      <alignment horizontal="center"/>
      <protection locked="0"/>
    </xf>
    <xf numFmtId="0" fontId="23" fillId="9" borderId="25" xfId="0" applyFont="1" applyFill="1" applyBorder="1" applyProtection="1">
      <protection locked="0"/>
    </xf>
    <xf numFmtId="0" fontId="26" fillId="9" borderId="27" xfId="4" applyFont="1" applyFill="1" applyBorder="1" applyProtection="1">
      <protection locked="0"/>
    </xf>
    <xf numFmtId="166" fontId="23" fillId="9" borderId="52" xfId="4" applyNumberFormat="1" applyFont="1" applyFill="1" applyBorder="1" applyAlignment="1" applyProtection="1">
      <alignment horizontal="center"/>
      <protection locked="0"/>
    </xf>
    <xf numFmtId="0" fontId="23" fillId="9" borderId="27" xfId="0" applyFont="1" applyFill="1" applyBorder="1" applyProtection="1">
      <protection locked="0"/>
    </xf>
    <xf numFmtId="4" fontId="35" fillId="0" borderId="38" xfId="3" applyNumberFormat="1" applyFont="1" applyBorder="1" applyProtection="1">
      <protection locked="0"/>
    </xf>
    <xf numFmtId="44" fontId="0" fillId="0" borderId="75" xfId="1" applyFont="1" applyBorder="1"/>
    <xf numFmtId="0" fontId="0" fillId="0" borderId="75" xfId="0" applyBorder="1"/>
    <xf numFmtId="0" fontId="7" fillId="0" borderId="76" xfId="0" applyFont="1" applyBorder="1"/>
    <xf numFmtId="0" fontId="7" fillId="0" borderId="77" xfId="0" applyFont="1" applyBorder="1"/>
    <xf numFmtId="0" fontId="7" fillId="0" borderId="78" xfId="0" applyFont="1" applyBorder="1"/>
    <xf numFmtId="0" fontId="5" fillId="0" borderId="79" xfId="0" applyFont="1" applyBorder="1"/>
    <xf numFmtId="2" fontId="0" fillId="0" borderId="80" xfId="0" applyNumberFormat="1" applyBorder="1"/>
    <xf numFmtId="0" fontId="0" fillId="0" borderId="79" xfId="0" applyBorder="1"/>
    <xf numFmtId="0" fontId="7" fillId="0" borderId="81" xfId="0" applyFont="1" applyBorder="1"/>
    <xf numFmtId="44" fontId="0" fillId="0" borderId="82" xfId="0" applyNumberFormat="1" applyBorder="1"/>
    <xf numFmtId="2" fontId="0" fillId="0" borderId="83" xfId="0" applyNumberFormat="1" applyBorder="1"/>
    <xf numFmtId="174" fontId="0" fillId="0" borderId="75" xfId="0" applyNumberFormat="1" applyBorder="1"/>
    <xf numFmtId="0" fontId="31" fillId="9" borderId="2" xfId="5" applyFont="1" applyFill="1" applyBorder="1" applyAlignment="1" applyProtection="1">
      <alignment horizontal="left" wrapText="1"/>
      <protection locked="0"/>
    </xf>
    <xf numFmtId="0" fontId="31" fillId="9" borderId="0" xfId="5" applyFont="1" applyFill="1" applyAlignment="1" applyProtection="1">
      <alignment horizontal="left" wrapText="1"/>
      <protection locked="0"/>
    </xf>
    <xf numFmtId="0" fontId="31" fillId="9" borderId="3" xfId="5" applyFont="1" applyFill="1" applyBorder="1" applyAlignment="1" applyProtection="1">
      <alignment horizontal="left" wrapText="1"/>
      <protection locked="0"/>
    </xf>
    <xf numFmtId="0" fontId="31" fillId="0" borderId="2" xfId="5" applyFont="1" applyBorder="1" applyAlignment="1" applyProtection="1">
      <alignment horizontal="left" wrapText="1"/>
      <protection locked="0"/>
    </xf>
    <xf numFmtId="0" fontId="31" fillId="0" borderId="0" xfId="5" applyFont="1" applyAlignment="1" applyProtection="1">
      <alignment horizontal="left" wrapText="1"/>
      <protection locked="0"/>
    </xf>
    <xf numFmtId="0" fontId="31" fillId="0" borderId="3" xfId="5" applyFont="1" applyBorder="1" applyAlignment="1" applyProtection="1">
      <alignment horizontal="left" wrapText="1"/>
      <protection locked="0"/>
    </xf>
    <xf numFmtId="0" fontId="30" fillId="9" borderId="9" xfId="5" applyFont="1" applyFill="1" applyBorder="1" applyAlignment="1">
      <alignment horizontal="center" wrapText="1"/>
    </xf>
    <xf numFmtId="0" fontId="30" fillId="9" borderId="8" xfId="5" applyFont="1" applyFill="1" applyBorder="1" applyAlignment="1">
      <alignment horizontal="center" wrapText="1"/>
    </xf>
    <xf numFmtId="167" fontId="31" fillId="9" borderId="0" xfId="5" applyNumberFormat="1" applyFont="1" applyFill="1" applyAlignment="1" applyProtection="1">
      <alignment horizontal="left" wrapText="1"/>
      <protection locked="0"/>
    </xf>
    <xf numFmtId="167" fontId="31" fillId="9" borderId="0" xfId="0" applyNumberFormat="1" applyFont="1" applyFill="1" applyAlignment="1" applyProtection="1">
      <alignment horizontal="left" wrapText="1"/>
      <protection locked="0"/>
    </xf>
    <xf numFmtId="167" fontId="31" fillId="9" borderId="3" xfId="0" applyNumberFormat="1" applyFont="1" applyFill="1" applyBorder="1" applyAlignment="1" applyProtection="1">
      <alignment horizontal="left" wrapText="1"/>
      <protection locked="0"/>
    </xf>
    <xf numFmtId="0" fontId="21" fillId="0" borderId="0" xfId="4" applyFont="1" applyAlignment="1">
      <alignment horizontal="center" wrapText="1"/>
    </xf>
    <xf numFmtId="0" fontId="22" fillId="0" borderId="0" xfId="4" applyFont="1" applyAlignment="1">
      <alignment wrapText="1"/>
    </xf>
    <xf numFmtId="169" fontId="24" fillId="0" borderId="0" xfId="4" applyNumberFormat="1" applyFont="1" applyAlignment="1">
      <alignment horizontal="center" wrapText="1"/>
    </xf>
    <xf numFmtId="0" fontId="16" fillId="0" borderId="0" xfId="0" applyFont="1" applyAlignment="1">
      <alignment wrapText="1"/>
    </xf>
    <xf numFmtId="169" fontId="24" fillId="0" borderId="0" xfId="4" applyNumberFormat="1" applyFont="1" applyAlignment="1" applyProtection="1">
      <alignment horizontal="center" wrapText="1"/>
      <protection locked="0"/>
    </xf>
    <xf numFmtId="0" fontId="16" fillId="0" borderId="0" xfId="0" applyFont="1" applyAlignment="1" applyProtection="1">
      <alignment wrapText="1"/>
      <protection locked="0"/>
    </xf>
    <xf numFmtId="3" fontId="24" fillId="9" borderId="0" xfId="4" applyNumberFormat="1" applyFont="1" applyFill="1" applyAlignment="1" applyProtection="1">
      <alignment horizontal="left" wrapText="1"/>
      <protection locked="0"/>
    </xf>
    <xf numFmtId="3" fontId="23" fillId="9" borderId="0" xfId="4" applyNumberFormat="1" applyFont="1" applyFill="1" applyAlignment="1" applyProtection="1">
      <alignment horizontal="left" wrapText="1"/>
      <protection locked="0"/>
    </xf>
    <xf numFmtId="3" fontId="23" fillId="9" borderId="3" xfId="4" applyNumberFormat="1" applyFont="1" applyFill="1" applyBorder="1" applyAlignment="1" applyProtection="1">
      <alignment horizontal="left" wrapText="1"/>
      <protection locked="0"/>
    </xf>
    <xf numFmtId="3" fontId="24" fillId="9" borderId="55" xfId="4" applyNumberFormat="1" applyFont="1" applyFill="1" applyBorder="1" applyAlignment="1" applyProtection="1">
      <alignment horizontal="left" wrapText="1"/>
      <protection locked="0"/>
    </xf>
    <xf numFmtId="3" fontId="24" fillId="9" borderId="4" xfId="4" applyNumberFormat="1" applyFont="1" applyFill="1" applyBorder="1" applyAlignment="1" applyProtection="1">
      <alignment horizontal="left" wrapText="1"/>
      <protection locked="0"/>
    </xf>
    <xf numFmtId="0" fontId="24" fillId="9" borderId="0" xfId="4" applyFont="1" applyFill="1" applyAlignment="1" applyProtection="1">
      <alignment horizontal="left" wrapText="1"/>
      <protection locked="0"/>
    </xf>
    <xf numFmtId="0" fontId="23" fillId="9" borderId="0" xfId="4" applyFont="1" applyFill="1" applyAlignment="1" applyProtection="1">
      <alignment horizontal="left" wrapText="1"/>
      <protection locked="0"/>
    </xf>
    <xf numFmtId="0" fontId="23" fillId="9" borderId="3" xfId="4" applyFont="1" applyFill="1" applyBorder="1" applyAlignment="1" applyProtection="1">
      <alignment horizontal="left" wrapText="1"/>
      <protection locked="0"/>
    </xf>
    <xf numFmtId="2" fontId="25" fillId="9" borderId="0" xfId="4" applyNumberFormat="1" applyFont="1" applyFill="1" applyAlignment="1">
      <alignment horizontal="center"/>
    </xf>
    <xf numFmtId="2" fontId="16" fillId="9" borderId="0" xfId="0" applyNumberFormat="1" applyFont="1" applyFill="1" applyAlignment="1">
      <alignment horizontal="center"/>
    </xf>
    <xf numFmtId="2" fontId="16" fillId="9" borderId="3" xfId="0" applyNumberFormat="1" applyFont="1" applyFill="1" applyBorder="1" applyAlignment="1">
      <alignment horizontal="center"/>
    </xf>
    <xf numFmtId="0" fontId="27" fillId="9" borderId="9" xfId="4" applyFont="1" applyFill="1" applyBorder="1" applyAlignment="1">
      <alignment horizontal="center" wrapText="1"/>
    </xf>
    <xf numFmtId="0" fontId="28" fillId="9" borderId="9" xfId="4" applyFont="1" applyFill="1" applyBorder="1" applyAlignment="1">
      <alignment horizontal="center" wrapText="1"/>
    </xf>
    <xf numFmtId="0" fontId="28" fillId="9" borderId="8" xfId="4" applyFont="1" applyFill="1" applyBorder="1" applyAlignment="1">
      <alignment horizontal="center" wrapText="1"/>
    </xf>
    <xf numFmtId="3" fontId="24" fillId="9" borderId="2" xfId="4" applyNumberFormat="1" applyFont="1" applyFill="1" applyBorder="1" applyAlignment="1" applyProtection="1">
      <alignment horizontal="left" wrapText="1"/>
      <protection locked="0"/>
    </xf>
    <xf numFmtId="0" fontId="16" fillId="9" borderId="0" xfId="0" applyFont="1" applyFill="1" applyAlignment="1" applyProtection="1">
      <alignment horizontal="left" wrapText="1"/>
      <protection locked="0"/>
    </xf>
    <xf numFmtId="0" fontId="16" fillId="9" borderId="3" xfId="0" applyFont="1" applyFill="1" applyBorder="1" applyAlignment="1" applyProtection="1">
      <alignment horizontal="left" wrapText="1"/>
      <protection locked="0"/>
    </xf>
    <xf numFmtId="0" fontId="27" fillId="9" borderId="0" xfId="4" applyFont="1" applyFill="1" applyAlignment="1">
      <alignment horizontal="center" wrapText="1"/>
    </xf>
    <xf numFmtId="0" fontId="16" fillId="9" borderId="0" xfId="0" applyFont="1" applyFill="1" applyAlignment="1">
      <alignment horizontal="center"/>
    </xf>
    <xf numFmtId="0" fontId="16" fillId="9" borderId="3" xfId="0" applyFont="1" applyFill="1" applyBorder="1" applyAlignment="1">
      <alignment horizontal="center"/>
    </xf>
    <xf numFmtId="0" fontId="15" fillId="0" borderId="39" xfId="4" applyFont="1" applyBorder="1" applyAlignment="1">
      <alignment horizontal="center" wrapText="1"/>
    </xf>
    <xf numFmtId="0" fontId="15" fillId="0" borderId="51" xfId="4" applyFont="1" applyBorder="1" applyAlignment="1">
      <alignment horizontal="center" wrapText="1"/>
    </xf>
    <xf numFmtId="0" fontId="15" fillId="0" borderId="70" xfId="4" applyFont="1" applyBorder="1" applyAlignment="1">
      <alignment horizontal="center" wrapText="1"/>
    </xf>
    <xf numFmtId="0" fontId="16" fillId="0" borderId="22" xfId="4" applyFont="1" applyBorder="1" applyAlignment="1" applyProtection="1">
      <alignment horizontal="left" wrapText="1"/>
      <protection locked="0"/>
    </xf>
    <xf numFmtId="0" fontId="16" fillId="0" borderId="19" xfId="4" applyFont="1" applyBorder="1" applyAlignment="1" applyProtection="1">
      <alignment horizontal="left" wrapText="1"/>
      <protection locked="0"/>
    </xf>
    <xf numFmtId="0" fontId="16" fillId="0" borderId="71" xfId="4" applyFont="1" applyBorder="1" applyAlignment="1" applyProtection="1">
      <alignment horizontal="left" wrapText="1"/>
      <protection locked="0"/>
    </xf>
    <xf numFmtId="0" fontId="26" fillId="0" borderId="14" xfId="4" applyFont="1" applyBorder="1" applyAlignment="1">
      <alignment horizontal="center" vertical="center"/>
    </xf>
    <xf numFmtId="0" fontId="26" fillId="0" borderId="13" xfId="4" applyFont="1" applyBorder="1" applyAlignment="1">
      <alignment horizontal="center" vertical="center"/>
    </xf>
    <xf numFmtId="0" fontId="26" fillId="0" borderId="7" xfId="4" applyFont="1" applyBorder="1" applyAlignment="1" applyProtection="1">
      <alignment horizontal="left" vertical="center" wrapText="1"/>
      <protection locked="0"/>
    </xf>
    <xf numFmtId="0" fontId="26" fillId="0" borderId="9" xfId="4" applyFont="1" applyBorder="1" applyAlignment="1" applyProtection="1">
      <alignment horizontal="left" vertical="center" wrapText="1"/>
      <protection locked="0"/>
    </xf>
    <xf numFmtId="0" fontId="26" fillId="0" borderId="8" xfId="4" applyFont="1" applyBorder="1" applyAlignment="1" applyProtection="1">
      <alignment horizontal="left" vertical="center" wrapText="1"/>
      <protection locked="0"/>
    </xf>
    <xf numFmtId="0" fontId="26" fillId="0" borderId="10" xfId="4" applyFont="1" applyBorder="1" applyAlignment="1" applyProtection="1">
      <alignment horizontal="left" vertical="center" wrapText="1"/>
      <protection locked="0"/>
    </xf>
    <xf numFmtId="0" fontId="26" fillId="0" borderId="55" xfId="4" applyFont="1" applyBorder="1" applyAlignment="1" applyProtection="1">
      <alignment horizontal="left" vertical="center" wrapText="1"/>
      <protection locked="0"/>
    </xf>
    <xf numFmtId="0" fontId="26" fillId="0" borderId="4" xfId="4" applyFont="1" applyBorder="1" applyAlignment="1" applyProtection="1">
      <alignment horizontal="left" vertical="center" wrapText="1"/>
      <protection locked="0"/>
    </xf>
    <xf numFmtId="0" fontId="41" fillId="12" borderId="10" xfId="0" applyFont="1" applyFill="1" applyBorder="1" applyAlignment="1">
      <alignment horizontal="center"/>
    </xf>
    <xf numFmtId="0" fontId="41" fillId="12" borderId="55" xfId="0" applyFont="1" applyFill="1" applyBorder="1" applyAlignment="1">
      <alignment horizontal="center"/>
    </xf>
    <xf numFmtId="0" fontId="41" fillId="12" borderId="4" xfId="0" applyFont="1" applyFill="1" applyBorder="1" applyAlignment="1">
      <alignment horizontal="center"/>
    </xf>
    <xf numFmtId="0" fontId="42" fillId="0" borderId="11" xfId="0" applyFont="1" applyBorder="1" applyAlignment="1">
      <alignment horizontal="left"/>
    </xf>
    <xf numFmtId="0" fontId="42" fillId="0" borderId="5" xfId="0" applyFont="1" applyBorder="1" applyAlignment="1">
      <alignment horizontal="left"/>
    </xf>
    <xf numFmtId="0" fontId="26" fillId="0" borderId="7" xfId="4" applyFont="1" applyBorder="1" applyAlignment="1" applyProtection="1">
      <alignment horizontal="left" wrapText="1"/>
      <protection locked="0"/>
    </xf>
    <xf numFmtId="0" fontId="26" fillId="0" borderId="9" xfId="4" applyFont="1" applyBorder="1" applyAlignment="1" applyProtection="1">
      <alignment horizontal="left" wrapText="1"/>
      <protection locked="0"/>
    </xf>
    <xf numFmtId="0" fontId="26" fillId="0" borderId="8" xfId="4" applyFont="1" applyBorder="1" applyAlignment="1" applyProtection="1">
      <alignment horizontal="left" wrapText="1"/>
      <protection locked="0"/>
    </xf>
    <xf numFmtId="0" fontId="26" fillId="0" borderId="10" xfId="4" applyFont="1" applyBorder="1" applyAlignment="1" applyProtection="1">
      <alignment horizontal="left" wrapText="1"/>
      <protection locked="0"/>
    </xf>
    <xf numFmtId="0" fontId="26" fillId="0" borderId="55" xfId="4" applyFont="1" applyBorder="1" applyAlignment="1" applyProtection="1">
      <alignment horizontal="left" wrapText="1"/>
      <protection locked="0"/>
    </xf>
    <xf numFmtId="0" fontId="26" fillId="0" borderId="4" xfId="4" applyFont="1" applyBorder="1" applyAlignment="1" applyProtection="1">
      <alignment horizontal="left" wrapText="1"/>
      <protection locked="0"/>
    </xf>
    <xf numFmtId="0" fontId="41" fillId="17" borderId="10" xfId="0" applyFont="1" applyFill="1" applyBorder="1" applyAlignment="1">
      <alignment horizontal="center"/>
    </xf>
    <xf numFmtId="0" fontId="41" fillId="17" borderId="55" xfId="0" applyFont="1" applyFill="1" applyBorder="1" applyAlignment="1">
      <alignment horizontal="center"/>
    </xf>
    <xf numFmtId="0" fontId="41" fillId="17" borderId="4" xfId="0" applyFont="1" applyFill="1" applyBorder="1" applyAlignment="1">
      <alignment horizontal="center"/>
    </xf>
    <xf numFmtId="3" fontId="23" fillId="9" borderId="55" xfId="4" applyNumberFormat="1" applyFont="1" applyFill="1" applyBorder="1" applyAlignment="1" applyProtection="1">
      <alignment horizontal="left" wrapText="1"/>
      <protection locked="0"/>
    </xf>
    <xf numFmtId="3" fontId="23" fillId="9" borderId="4" xfId="4" applyNumberFormat="1" applyFont="1" applyFill="1" applyBorder="1" applyAlignment="1" applyProtection="1">
      <alignment horizontal="left" wrapText="1"/>
      <protection locked="0"/>
    </xf>
    <xf numFmtId="0" fontId="24" fillId="9" borderId="10" xfId="4" applyFont="1" applyFill="1" applyBorder="1" applyAlignment="1" applyProtection="1">
      <alignment horizontal="left" wrapText="1"/>
      <protection locked="0"/>
    </xf>
    <xf numFmtId="0" fontId="11" fillId="0" borderId="55" xfId="0" applyFont="1" applyBorder="1" applyAlignment="1" applyProtection="1">
      <alignment horizontal="left" wrapText="1"/>
      <protection locked="0"/>
    </xf>
    <xf numFmtId="0" fontId="11" fillId="0" borderId="4" xfId="0" applyFont="1" applyBorder="1" applyAlignment="1" applyProtection="1">
      <alignment horizontal="left" wrapText="1"/>
      <protection locked="0"/>
    </xf>
    <xf numFmtId="0" fontId="24" fillId="5" borderId="2" xfId="4" applyFont="1" applyFill="1" applyBorder="1" applyAlignment="1" applyProtection="1">
      <alignment horizontal="left" wrapText="1"/>
      <protection locked="0"/>
    </xf>
    <xf numFmtId="0" fontId="23" fillId="5" borderId="0" xfId="4" applyFont="1" applyFill="1" applyAlignment="1" applyProtection="1">
      <alignment horizontal="left" wrapText="1"/>
      <protection locked="0"/>
    </xf>
    <xf numFmtId="0" fontId="23" fillId="5" borderId="3" xfId="4" applyFont="1" applyFill="1" applyBorder="1" applyAlignment="1" applyProtection="1">
      <alignment horizontal="left" wrapText="1"/>
      <protection locked="0"/>
    </xf>
    <xf numFmtId="0" fontId="24" fillId="5" borderId="10" xfId="4" applyFont="1" applyFill="1" applyBorder="1" applyAlignment="1" applyProtection="1">
      <alignment horizontal="left" wrapText="1"/>
      <protection locked="0"/>
    </xf>
    <xf numFmtId="0" fontId="23" fillId="5" borderId="55" xfId="4" applyFont="1" applyFill="1" applyBorder="1" applyAlignment="1" applyProtection="1">
      <alignment horizontal="left" wrapText="1"/>
      <protection locked="0"/>
    </xf>
    <xf numFmtId="0" fontId="23" fillId="5" borderId="4" xfId="4" applyFont="1" applyFill="1" applyBorder="1" applyAlignment="1" applyProtection="1">
      <alignment horizontal="left" wrapText="1"/>
      <protection locked="0"/>
    </xf>
    <xf numFmtId="0" fontId="27" fillId="5" borderId="7" xfId="4" applyFont="1" applyFill="1" applyBorder="1" applyAlignment="1">
      <alignment horizontal="center" wrapText="1"/>
    </xf>
    <xf numFmtId="0" fontId="28" fillId="5" borderId="9" xfId="4" applyFont="1" applyFill="1" applyBorder="1" applyAlignment="1">
      <alignment horizontal="center" wrapText="1"/>
    </xf>
    <xf numFmtId="0" fontId="28" fillId="5" borderId="8" xfId="4" applyFont="1" applyFill="1" applyBorder="1" applyAlignment="1">
      <alignment horizontal="center" wrapText="1"/>
    </xf>
    <xf numFmtId="0" fontId="24" fillId="9" borderId="2" xfId="4" applyFont="1" applyFill="1" applyBorder="1" applyAlignment="1" applyProtection="1">
      <alignment horizontal="left" wrapText="1"/>
      <protection locked="0"/>
    </xf>
    <xf numFmtId="0" fontId="24" fillId="9" borderId="3" xfId="4" applyFont="1" applyFill="1" applyBorder="1" applyAlignment="1" applyProtection="1">
      <alignment horizontal="left" wrapText="1"/>
      <protection locked="0"/>
    </xf>
    <xf numFmtId="3" fontId="24" fillId="9" borderId="2" xfId="4" applyNumberFormat="1" applyFont="1" applyFill="1" applyBorder="1" applyAlignment="1" applyProtection="1">
      <alignment horizontal="center" wrapText="1"/>
      <protection locked="0"/>
    </xf>
    <xf numFmtId="0" fontId="16" fillId="9" borderId="0" xfId="0" applyFont="1" applyFill="1" applyAlignment="1" applyProtection="1">
      <alignment horizontal="center" wrapText="1"/>
      <protection locked="0"/>
    </xf>
    <xf numFmtId="0" fontId="16" fillId="9" borderId="3" xfId="0" applyFont="1" applyFill="1" applyBorder="1" applyAlignment="1" applyProtection="1">
      <alignment horizontal="center" wrapText="1"/>
      <protection locked="0"/>
    </xf>
    <xf numFmtId="3" fontId="27" fillId="9" borderId="9" xfId="4" applyNumberFormat="1" applyFont="1" applyFill="1" applyBorder="1" applyAlignment="1">
      <alignment horizontal="center" wrapText="1"/>
    </xf>
    <xf numFmtId="0" fontId="33" fillId="0" borderId="9" xfId="0" applyFont="1" applyBorder="1" applyAlignment="1">
      <alignment horizontal="center" wrapText="1"/>
    </xf>
    <xf numFmtId="0" fontId="33" fillId="0" borderId="8" xfId="0" applyFont="1" applyBorder="1" applyAlignment="1">
      <alignment horizontal="center" wrapText="1"/>
    </xf>
    <xf numFmtId="0" fontId="0" fillId="0" borderId="0" xfId="0" applyAlignment="1" applyProtection="1">
      <alignment horizontal="left" wrapText="1"/>
      <protection locked="0"/>
    </xf>
    <xf numFmtId="0" fontId="0" fillId="0" borderId="3" xfId="0" applyBorder="1" applyAlignment="1" applyProtection="1">
      <alignment horizontal="left" wrapText="1"/>
      <protection locked="0"/>
    </xf>
    <xf numFmtId="0" fontId="0" fillId="0" borderId="55" xfId="0" applyBorder="1" applyAlignment="1" applyProtection="1">
      <alignment horizontal="left" wrapText="1"/>
      <protection locked="0"/>
    </xf>
    <xf numFmtId="0" fontId="0" fillId="0" borderId="4" xfId="0" applyBorder="1" applyAlignment="1" applyProtection="1">
      <alignment horizontal="left" wrapText="1"/>
      <protection locked="0"/>
    </xf>
    <xf numFmtId="0" fontId="27" fillId="9" borderId="7" xfId="4" applyFont="1" applyFill="1" applyBorder="1" applyAlignment="1">
      <alignment horizontal="center" wrapText="1"/>
    </xf>
    <xf numFmtId="0" fontId="31" fillId="9" borderId="10" xfId="5" applyFont="1" applyFill="1" applyBorder="1" applyAlignment="1" applyProtection="1">
      <alignment horizontal="left" wrapText="1"/>
      <protection locked="0"/>
    </xf>
    <xf numFmtId="0" fontId="16" fillId="0" borderId="74" xfId="4" applyFont="1" applyBorder="1" applyAlignment="1" applyProtection="1">
      <alignment horizontal="left" wrapText="1"/>
      <protection locked="0"/>
    </xf>
    <xf numFmtId="0" fontId="16" fillId="0" borderId="52" xfId="4" applyFont="1" applyBorder="1" applyAlignment="1" applyProtection="1">
      <alignment horizontal="left" wrapText="1"/>
      <protection locked="0"/>
    </xf>
    <xf numFmtId="0" fontId="16" fillId="0" borderId="72" xfId="4" applyFont="1" applyBorder="1" applyAlignment="1" applyProtection="1">
      <alignment horizontal="left" wrapText="1"/>
      <protection locked="0"/>
    </xf>
    <xf numFmtId="0" fontId="11" fillId="0" borderId="0" xfId="0" applyFont="1" applyAlignment="1" applyProtection="1">
      <alignment horizontal="left" wrapText="1"/>
      <protection locked="0"/>
    </xf>
    <xf numFmtId="0" fontId="11" fillId="0" borderId="3" xfId="0" applyFont="1" applyBorder="1" applyAlignment="1" applyProtection="1">
      <alignment horizontal="left" wrapText="1"/>
      <protection locked="0"/>
    </xf>
    <xf numFmtId="0" fontId="18" fillId="9" borderId="2" xfId="5" applyFont="1" applyFill="1" applyBorder="1" applyAlignment="1" applyProtection="1">
      <alignment horizontal="left" wrapText="1"/>
      <protection locked="0"/>
    </xf>
    <xf numFmtId="0" fontId="30" fillId="9" borderId="7" xfId="5" applyFont="1" applyFill="1" applyBorder="1" applyAlignment="1">
      <alignment horizontal="center" wrapText="1"/>
    </xf>
    <xf numFmtId="0" fontId="31" fillId="9" borderId="55" xfId="5" applyFont="1" applyFill="1" applyBorder="1" applyAlignment="1" applyProtection="1">
      <alignment horizontal="left" wrapText="1"/>
      <protection locked="0"/>
    </xf>
    <xf numFmtId="0" fontId="31" fillId="9" borderId="4" xfId="5" applyFont="1" applyFill="1" applyBorder="1" applyAlignment="1" applyProtection="1">
      <alignment horizontal="left" wrapText="1"/>
      <protection locked="0"/>
    </xf>
    <xf numFmtId="0" fontId="18" fillId="9" borderId="10" xfId="5" applyFont="1" applyFill="1" applyBorder="1" applyAlignment="1" applyProtection="1">
      <alignment horizontal="left" wrapText="1"/>
      <protection locked="0"/>
    </xf>
    <xf numFmtId="0" fontId="30" fillId="9" borderId="2" xfId="5" applyFont="1" applyFill="1" applyBorder="1" applyAlignment="1">
      <alignment horizontal="center" wrapText="1"/>
    </xf>
    <xf numFmtId="0" fontId="30" fillId="9" borderId="0" xfId="5" applyFont="1" applyFill="1" applyAlignment="1">
      <alignment horizontal="center" wrapText="1"/>
    </xf>
    <xf numFmtId="0" fontId="30" fillId="9" borderId="3" xfId="5" applyFont="1" applyFill="1" applyBorder="1" applyAlignment="1">
      <alignment horizontal="center" wrapText="1"/>
    </xf>
    <xf numFmtId="0" fontId="15" fillId="0" borderId="0" xfId="3" applyFont="1" applyAlignment="1" applyProtection="1">
      <alignment horizontal="left" wrapText="1"/>
      <protection locked="0"/>
    </xf>
    <xf numFmtId="0" fontId="15" fillId="0" borderId="3" xfId="3" applyFont="1" applyBorder="1" applyAlignment="1" applyProtection="1">
      <alignment horizontal="left" wrapText="1"/>
      <protection locked="0"/>
    </xf>
    <xf numFmtId="0" fontId="41" fillId="15" borderId="11" xfId="0" applyFont="1" applyFill="1" applyBorder="1" applyAlignment="1" applyProtection="1">
      <alignment horizontal="center" vertical="top" wrapText="1"/>
      <protection locked="0"/>
    </xf>
    <xf numFmtId="0" fontId="41" fillId="15" borderId="6" xfId="0" applyFont="1" applyFill="1" applyBorder="1" applyAlignment="1" applyProtection="1">
      <alignment horizontal="center" vertical="top" wrapText="1"/>
      <protection locked="0"/>
    </xf>
    <xf numFmtId="0" fontId="41" fillId="15" borderId="5" xfId="0" applyFont="1" applyFill="1" applyBorder="1" applyAlignment="1" applyProtection="1">
      <alignment horizontal="center" vertical="top" wrapText="1"/>
      <protection locked="0"/>
    </xf>
    <xf numFmtId="0" fontId="0" fillId="0" borderId="11" xfId="0" applyBorder="1" applyAlignment="1" applyProtection="1">
      <alignment horizontal="left"/>
      <protection locked="0"/>
    </xf>
    <xf numFmtId="0" fontId="0" fillId="0" borderId="5" xfId="0" applyBorder="1" applyAlignment="1" applyProtection="1">
      <alignment horizontal="left"/>
      <protection locked="0"/>
    </xf>
    <xf numFmtId="0" fontId="42" fillId="0" borderId="14" xfId="0" applyFont="1" applyBorder="1" applyAlignment="1">
      <alignment horizontal="center" vertical="center" wrapText="1"/>
    </xf>
    <xf numFmtId="0" fontId="42" fillId="0" borderId="13" xfId="0" applyFont="1" applyBorder="1" applyAlignment="1">
      <alignment horizontal="center" vertical="center" wrapText="1"/>
    </xf>
    <xf numFmtId="0" fontId="5" fillId="0" borderId="7" xfId="0" applyFont="1" applyBorder="1" applyAlignment="1" applyProtection="1">
      <alignment horizontal="center" vertical="center" wrapText="1"/>
      <protection locked="0"/>
    </xf>
    <xf numFmtId="0" fontId="0" fillId="0" borderId="9" xfId="0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center" vertical="center" wrapText="1"/>
      <protection locked="0"/>
    </xf>
    <xf numFmtId="0" fontId="0" fillId="0" borderId="10" xfId="0" applyBorder="1" applyAlignment="1" applyProtection="1">
      <alignment horizontal="center" vertical="center" wrapText="1"/>
      <protection locked="0"/>
    </xf>
    <xf numFmtId="0" fontId="0" fillId="0" borderId="55" xfId="0" applyBorder="1" applyAlignment="1" applyProtection="1">
      <alignment horizontal="center" vertical="center" wrapText="1"/>
      <protection locked="0"/>
    </xf>
    <xf numFmtId="0" fontId="0" fillId="0" borderId="4" xfId="0" applyBorder="1" applyAlignment="1" applyProtection="1">
      <alignment horizontal="center" vertical="center" wrapText="1"/>
      <protection locked="0"/>
    </xf>
    <xf numFmtId="0" fontId="0" fillId="0" borderId="7" xfId="0" applyBorder="1" applyAlignment="1" applyProtection="1">
      <alignment horizontal="center" vertical="center" wrapText="1"/>
      <protection locked="0"/>
    </xf>
    <xf numFmtId="0" fontId="41" fillId="16" borderId="11" xfId="0" applyFont="1" applyFill="1" applyBorder="1" applyAlignment="1">
      <alignment horizontal="center"/>
    </xf>
    <xf numFmtId="0" fontId="41" fillId="16" borderId="6" xfId="0" applyFont="1" applyFill="1" applyBorder="1" applyAlignment="1">
      <alignment horizontal="center"/>
    </xf>
    <xf numFmtId="0" fontId="41" fillId="16" borderId="5" xfId="0" applyFont="1" applyFill="1" applyBorder="1" applyAlignment="1">
      <alignment horizontal="center"/>
    </xf>
    <xf numFmtId="0" fontId="41" fillId="18" borderId="10" xfId="0" applyFont="1" applyFill="1" applyBorder="1" applyAlignment="1">
      <alignment horizontal="center"/>
    </xf>
    <xf numFmtId="0" fontId="41" fillId="18" borderId="55" xfId="0" applyFont="1" applyFill="1" applyBorder="1" applyAlignment="1">
      <alignment horizontal="center"/>
    </xf>
    <xf numFmtId="0" fontId="41" fillId="18" borderId="4" xfId="0" applyFont="1" applyFill="1" applyBorder="1" applyAlignment="1">
      <alignment horizontal="center"/>
    </xf>
    <xf numFmtId="0" fontId="12" fillId="0" borderId="0" xfId="3" applyFont="1" applyAlignment="1">
      <alignment horizontal="center"/>
    </xf>
    <xf numFmtId="0" fontId="10" fillId="0" borderId="11" xfId="3" applyFont="1" applyBorder="1" applyAlignment="1">
      <alignment horizontal="center"/>
    </xf>
    <xf numFmtId="0" fontId="10" fillId="0" borderId="8" xfId="3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5" fillId="0" borderId="0" xfId="0" applyFont="1"/>
    <xf numFmtId="0" fontId="15" fillId="0" borderId="46" xfId="0" applyFont="1" applyBorder="1" applyAlignment="1">
      <alignment horizontal="center"/>
    </xf>
    <xf numFmtId="0" fontId="15" fillId="0" borderId="50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2" fontId="15" fillId="0" borderId="31" xfId="1" applyNumberFormat="1" applyFont="1" applyFill="1" applyBorder="1" applyAlignment="1" applyProtection="1">
      <alignment horizontal="center"/>
      <protection locked="0"/>
    </xf>
    <xf numFmtId="0" fontId="16" fillId="0" borderId="28" xfId="0" applyFont="1" applyBorder="1" applyAlignment="1" applyProtection="1">
      <alignment horizontal="center"/>
      <protection locked="0"/>
    </xf>
    <xf numFmtId="2" fontId="15" fillId="0" borderId="16" xfId="1" applyNumberFormat="1" applyFont="1" applyFill="1" applyBorder="1" applyAlignment="1" applyProtection="1">
      <alignment horizontal="center"/>
      <protection locked="0"/>
    </xf>
    <xf numFmtId="0" fontId="16" fillId="0" borderId="29" xfId="0" applyFont="1" applyBorder="1" applyAlignment="1" applyProtection="1">
      <alignment horizontal="center"/>
      <protection locked="0"/>
    </xf>
    <xf numFmtId="2" fontId="15" fillId="0" borderId="40" xfId="1" applyNumberFormat="1" applyFont="1" applyFill="1" applyBorder="1" applyAlignment="1" applyProtection="1">
      <alignment horizontal="center"/>
    </xf>
    <xf numFmtId="0" fontId="16" fillId="0" borderId="42" xfId="0" applyFont="1" applyBorder="1" applyAlignment="1">
      <alignment horizontal="center"/>
    </xf>
    <xf numFmtId="0" fontId="19" fillId="0" borderId="0" xfId="0" applyFont="1" applyAlignment="1" applyProtection="1">
      <alignment horizontal="center"/>
      <protection locked="0"/>
    </xf>
    <xf numFmtId="0" fontId="20" fillId="0" borderId="0" xfId="0" applyFont="1"/>
    <xf numFmtId="0" fontId="16" fillId="0" borderId="34" xfId="0" applyFont="1" applyBorder="1" applyProtection="1">
      <protection locked="0"/>
    </xf>
    <xf numFmtId="0" fontId="0" fillId="0" borderId="21" xfId="0" applyBorder="1" applyProtection="1">
      <protection locked="0"/>
    </xf>
    <xf numFmtId="0" fontId="0" fillId="0" borderId="35" xfId="0" applyBorder="1" applyProtection="1">
      <protection locked="0"/>
    </xf>
    <xf numFmtId="0" fontId="16" fillId="0" borderId="36" xfId="0" applyFont="1" applyBorder="1" applyProtection="1">
      <protection locked="0"/>
    </xf>
    <xf numFmtId="0" fontId="0" fillId="0" borderId="60" xfId="0" applyBorder="1" applyProtection="1">
      <protection locked="0"/>
    </xf>
    <xf numFmtId="0" fontId="0" fillId="0" borderId="37" xfId="0" applyBorder="1" applyProtection="1">
      <protection locked="0"/>
    </xf>
    <xf numFmtId="0" fontId="18" fillId="0" borderId="11" xfId="0" applyFont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15" fillId="0" borderId="10" xfId="0" applyFon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16" fillId="0" borderId="56" xfId="0" applyFont="1" applyBorder="1" applyProtection="1">
      <protection locked="0"/>
    </xf>
    <xf numFmtId="0" fontId="0" fillId="0" borderId="61" xfId="0" applyBorder="1" applyProtection="1">
      <protection locked="0"/>
    </xf>
    <xf numFmtId="0" fontId="0" fillId="0" borderId="57" xfId="0" applyBorder="1" applyProtection="1">
      <protection locked="0"/>
    </xf>
    <xf numFmtId="0" fontId="15" fillId="0" borderId="11" xfId="0" applyFont="1" applyBorder="1" applyAlignment="1">
      <alignment horizontal="center" wrapText="1"/>
    </xf>
    <xf numFmtId="0" fontId="15" fillId="0" borderId="5" xfId="0" applyFont="1" applyBorder="1" applyAlignment="1">
      <alignment horizontal="center" wrapText="1"/>
    </xf>
    <xf numFmtId="0" fontId="15" fillId="0" borderId="4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0" fillId="0" borderId="47" xfId="0" applyBorder="1"/>
    <xf numFmtId="0" fontId="0" fillId="0" borderId="48" xfId="0" applyBorder="1"/>
    <xf numFmtId="0" fontId="34" fillId="0" borderId="0" xfId="3" applyFont="1" applyAlignment="1" applyProtection="1">
      <alignment horizontal="center" vertical="center"/>
      <protection locked="0"/>
    </xf>
    <xf numFmtId="0" fontId="36" fillId="0" borderId="2" xfId="3" applyFont="1" applyBorder="1" applyAlignment="1">
      <alignment horizontal="center"/>
    </xf>
    <xf numFmtId="0" fontId="36" fillId="0" borderId="0" xfId="3" applyFont="1" applyAlignment="1">
      <alignment horizontal="center"/>
    </xf>
    <xf numFmtId="0" fontId="36" fillId="0" borderId="3" xfId="3" applyFont="1" applyBorder="1" applyAlignment="1">
      <alignment horizontal="center"/>
    </xf>
    <xf numFmtId="0" fontId="36" fillId="0" borderId="11" xfId="3" applyFont="1" applyBorder="1" applyAlignment="1" applyProtection="1">
      <alignment horizontal="center"/>
      <protection locked="0"/>
    </xf>
    <xf numFmtId="0" fontId="36" fillId="0" borderId="6" xfId="3" applyFont="1" applyBorder="1" applyAlignment="1" applyProtection="1">
      <alignment horizontal="center"/>
      <protection locked="0"/>
    </xf>
    <xf numFmtId="0" fontId="36" fillId="0" borderId="5" xfId="3" applyFont="1" applyBorder="1" applyAlignment="1" applyProtection="1">
      <alignment horizontal="center"/>
      <protection locked="0"/>
    </xf>
    <xf numFmtId="0" fontId="37" fillId="0" borderId="7" xfId="3" applyFont="1" applyBorder="1" applyAlignment="1" applyProtection="1">
      <alignment horizontal="center"/>
      <protection locked="0"/>
    </xf>
    <xf numFmtId="0" fontId="37" fillId="0" borderId="9" xfId="3" applyFont="1" applyBorder="1" applyAlignment="1" applyProtection="1">
      <alignment horizontal="center"/>
      <protection locked="0"/>
    </xf>
    <xf numFmtId="0" fontId="37" fillId="0" borderId="8" xfId="3" applyFont="1" applyBorder="1" applyAlignment="1" applyProtection="1">
      <alignment horizontal="center"/>
      <protection locked="0"/>
    </xf>
    <xf numFmtId="0" fontId="11" fillId="0" borderId="0" xfId="0" applyFont="1" applyAlignment="1">
      <alignment wrapText="1"/>
    </xf>
    <xf numFmtId="14" fontId="24" fillId="0" borderId="0" xfId="4" applyNumberFormat="1" applyFont="1" applyAlignment="1" applyProtection="1">
      <alignment horizontal="center" wrapText="1"/>
      <protection locked="0"/>
    </xf>
    <xf numFmtId="14" fontId="11" fillId="0" borderId="0" xfId="0" applyNumberFormat="1" applyFont="1" applyAlignment="1" applyProtection="1">
      <alignment wrapText="1"/>
      <protection locked="0"/>
    </xf>
    <xf numFmtId="0" fontId="15" fillId="0" borderId="0" xfId="4" applyFont="1" applyAlignment="1">
      <alignment horizontal="center" wrapText="1"/>
    </xf>
    <xf numFmtId="0" fontId="25" fillId="9" borderId="7" xfId="4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" xfId="0" applyBorder="1" applyAlignment="1">
      <alignment horizontal="center"/>
    </xf>
    <xf numFmtId="0" fontId="16" fillId="0" borderId="0" xfId="4" applyFont="1" applyAlignment="1" applyProtection="1">
      <alignment horizontal="left" wrapText="1"/>
      <protection locked="0"/>
    </xf>
    <xf numFmtId="0" fontId="24" fillId="9" borderId="7" xfId="4" applyFont="1" applyFill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25" fillId="9" borderId="7" xfId="4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5" fontId="19" fillId="0" borderId="0" xfId="6" applyNumberFormat="1" applyFont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43" fillId="8" borderId="84" xfId="0" applyFont="1" applyFill="1" applyBorder="1" applyAlignment="1">
      <alignment horizontal="center" vertical="center" wrapText="1"/>
    </xf>
    <xf numFmtId="0" fontId="43" fillId="8" borderId="85" xfId="0" applyFont="1" applyFill="1" applyBorder="1" applyAlignment="1">
      <alignment horizontal="center" vertical="center" wrapText="1"/>
    </xf>
    <xf numFmtId="0" fontId="43" fillId="8" borderId="86" xfId="0" applyFont="1" applyFill="1" applyBorder="1" applyAlignment="1">
      <alignment horizontal="center" vertical="center" wrapText="1"/>
    </xf>
    <xf numFmtId="0" fontId="43" fillId="8" borderId="87" xfId="0" applyFont="1" applyFill="1" applyBorder="1" applyAlignment="1">
      <alignment horizontal="center" vertical="center" wrapText="1"/>
    </xf>
    <xf numFmtId="0" fontId="43" fillId="8" borderId="0" xfId="0" applyFont="1" applyFill="1" applyAlignment="1">
      <alignment horizontal="center" vertical="center" wrapText="1"/>
    </xf>
    <xf numFmtId="0" fontId="43" fillId="8" borderId="88" xfId="0" applyFont="1" applyFill="1" applyBorder="1" applyAlignment="1">
      <alignment horizontal="center" vertical="center" wrapText="1"/>
    </xf>
    <xf numFmtId="0" fontId="43" fillId="8" borderId="89" xfId="0" applyFont="1" applyFill="1" applyBorder="1" applyAlignment="1">
      <alignment horizontal="center" vertical="center" wrapText="1"/>
    </xf>
    <xf numFmtId="0" fontId="43" fillId="8" borderId="90" xfId="0" applyFont="1" applyFill="1" applyBorder="1" applyAlignment="1">
      <alignment horizontal="center" vertical="center" wrapText="1"/>
    </xf>
    <xf numFmtId="0" fontId="43" fillId="8" borderId="91" xfId="0" applyFont="1" applyFill="1" applyBorder="1" applyAlignment="1">
      <alignment horizontal="center" vertical="center" wrapText="1"/>
    </xf>
    <xf numFmtId="0" fontId="13" fillId="0" borderId="55" xfId="3" applyFont="1" applyBorder="1" applyAlignment="1">
      <alignment horizontal="center"/>
    </xf>
    <xf numFmtId="0" fontId="13" fillId="5" borderId="55" xfId="3" applyFont="1" applyFill="1" applyBorder="1" applyAlignment="1">
      <alignment horizontal="center"/>
    </xf>
    <xf numFmtId="0" fontId="7" fillId="0" borderId="11" xfId="3" applyFont="1" applyBorder="1" applyAlignment="1">
      <alignment horizontal="center"/>
    </xf>
    <xf numFmtId="0" fontId="7" fillId="0" borderId="5" xfId="3" applyFont="1" applyBorder="1" applyAlignment="1">
      <alignment horizontal="center"/>
    </xf>
    <xf numFmtId="0" fontId="7" fillId="5" borderId="11" xfId="3" applyFont="1" applyFill="1" applyBorder="1" applyAlignment="1">
      <alignment horizontal="center"/>
    </xf>
    <xf numFmtId="0" fontId="7" fillId="5" borderId="5" xfId="3" applyFont="1" applyFill="1" applyBorder="1" applyAlignment="1">
      <alignment horizontal="center"/>
    </xf>
    <xf numFmtId="0" fontId="12" fillId="0" borderId="11" xfId="3" applyFont="1" applyBorder="1" applyAlignment="1">
      <alignment horizontal="center"/>
    </xf>
    <xf numFmtId="0" fontId="12" fillId="0" borderId="6" xfId="3" applyFont="1" applyBorder="1" applyAlignment="1">
      <alignment horizontal="center"/>
    </xf>
    <xf numFmtId="0" fontId="12" fillId="0" borderId="5" xfId="3" applyFont="1" applyBorder="1" applyAlignment="1">
      <alignment horizontal="center"/>
    </xf>
    <xf numFmtId="44" fontId="6" fillId="0" borderId="7" xfId="3" applyNumberFormat="1" applyFont="1" applyBorder="1" applyAlignment="1">
      <alignment horizontal="center"/>
    </xf>
    <xf numFmtId="44" fontId="6" fillId="0" borderId="8" xfId="3" applyNumberFormat="1" applyFont="1" applyBorder="1" applyAlignment="1">
      <alignment horizontal="center"/>
    </xf>
    <xf numFmtId="44" fontId="6" fillId="0" borderId="10" xfId="3" applyNumberFormat="1" applyFont="1" applyBorder="1" applyAlignment="1">
      <alignment horizontal="center"/>
    </xf>
    <xf numFmtId="44" fontId="6" fillId="0" borderId="4" xfId="3" applyNumberFormat="1" applyFont="1" applyBorder="1" applyAlignment="1">
      <alignment horizontal="center"/>
    </xf>
    <xf numFmtId="44" fontId="13" fillId="0" borderId="11" xfId="3" applyNumberFormat="1" applyFont="1" applyBorder="1" applyAlignment="1">
      <alignment horizontal="center"/>
    </xf>
    <xf numFmtId="44" fontId="13" fillId="0" borderId="6" xfId="3" applyNumberFormat="1" applyFont="1" applyBorder="1" applyAlignment="1">
      <alignment horizontal="center"/>
    </xf>
    <xf numFmtId="44" fontId="13" fillId="0" borderId="5" xfId="3" applyNumberFormat="1" applyFont="1" applyBorder="1" applyAlignment="1">
      <alignment horizontal="center"/>
    </xf>
    <xf numFmtId="0" fontId="14" fillId="0" borderId="7" xfId="3" applyFont="1" applyBorder="1" applyAlignment="1">
      <alignment horizontal="center"/>
    </xf>
    <xf numFmtId="0" fontId="14" fillId="0" borderId="8" xfId="3" applyFont="1" applyBorder="1" applyAlignment="1">
      <alignment horizontal="center"/>
    </xf>
    <xf numFmtId="0" fontId="14" fillId="0" borderId="10" xfId="3" applyFont="1" applyBorder="1" applyAlignment="1">
      <alignment horizontal="center"/>
    </xf>
    <xf numFmtId="0" fontId="14" fillId="0" borderId="4" xfId="3" applyFont="1" applyBorder="1" applyAlignment="1">
      <alignment horizontal="center"/>
    </xf>
    <xf numFmtId="0" fontId="13" fillId="0" borderId="14" xfId="3" applyFont="1" applyBorder="1" applyAlignment="1" applyProtection="1">
      <alignment horizontal="center"/>
      <protection locked="0"/>
    </xf>
    <xf numFmtId="0" fontId="13" fillId="0" borderId="13" xfId="3" applyFont="1" applyBorder="1" applyAlignment="1" applyProtection="1">
      <alignment horizontal="center"/>
      <protection locked="0"/>
    </xf>
    <xf numFmtId="0" fontId="15" fillId="19" borderId="25" xfId="4" applyFont="1" applyFill="1" applyBorder="1" applyAlignment="1">
      <alignment horizontal="center"/>
    </xf>
  </cellXfs>
  <cellStyles count="9">
    <cellStyle name="Currency" xfId="1" builtinId="4"/>
    <cellStyle name="Normal" xfId="0" builtinId="0"/>
    <cellStyle name="Normal 2" xfId="2" xr:uid="{00000000-0005-0000-0000-000002000000}"/>
    <cellStyle name="Normal 2 2" xfId="6" xr:uid="{00000000-0005-0000-0000-000003000000}"/>
    <cellStyle name="Normal 3" xfId="3" xr:uid="{00000000-0005-0000-0000-000004000000}"/>
    <cellStyle name="Normal 4" xfId="4" xr:uid="{00000000-0005-0000-0000-000005000000}"/>
    <cellStyle name="Normal 4 2" xfId="5" xr:uid="{00000000-0005-0000-0000-000006000000}"/>
    <cellStyle name="Normal 5" xfId="7" xr:uid="{00000000-0005-0000-0000-000007000000}"/>
    <cellStyle name="Normal 6" xfId="8" xr:uid="{00000000-0005-0000-0000-000008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99"/>
      <color rgb="FFFFFF66"/>
      <color rgb="FF99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Button" lockText="1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Button" lockText="1"/>
</file>

<file path=xl/ctrlProps/ctrlProp34.xml><?xml version="1.0" encoding="utf-8"?>
<formControlPr xmlns="http://schemas.microsoft.com/office/spreadsheetml/2009/9/main" objectType="Button" lockText="1"/>
</file>

<file path=xl/ctrlProps/ctrlProp35.xml><?xml version="1.0" encoding="utf-8"?>
<formControlPr xmlns="http://schemas.microsoft.com/office/spreadsheetml/2009/9/main" objectType="Button" lockText="1"/>
</file>

<file path=xl/ctrlProps/ctrlProp36.xml><?xml version="1.0" encoding="utf-8"?>
<formControlPr xmlns="http://schemas.microsoft.com/office/spreadsheetml/2009/9/main" objectType="Button" lockText="1"/>
</file>

<file path=xl/ctrlProps/ctrlProp37.xml><?xml version="1.0" encoding="utf-8"?>
<formControlPr xmlns="http://schemas.microsoft.com/office/spreadsheetml/2009/9/main" objectType="Button" lockText="1"/>
</file>

<file path=xl/ctrlProps/ctrlProp38.xml><?xml version="1.0" encoding="utf-8"?>
<formControlPr xmlns="http://schemas.microsoft.com/office/spreadsheetml/2009/9/main" objectType="Button" lockText="1"/>
</file>

<file path=xl/ctrlProps/ctrlProp39.xml><?xml version="1.0" encoding="utf-8"?>
<formControlPr xmlns="http://schemas.microsoft.com/office/spreadsheetml/2009/9/main" objectType="Button" lockText="1"/>
</file>

<file path=xl/ctrlProps/ctrlProp40.xml><?xml version="1.0" encoding="utf-8"?>
<formControlPr xmlns="http://schemas.microsoft.com/office/spreadsheetml/2009/9/main" objectType="Button" lockText="1"/>
</file>

<file path=xl/ctrlProps/ctrlProp41.xml><?xml version="1.0" encoding="utf-8"?>
<formControlPr xmlns="http://schemas.microsoft.com/office/spreadsheetml/2009/9/main" objectType="Button" lockText="1"/>
</file>

<file path=xl/ctrlProps/ctrlProp42.xml><?xml version="1.0" encoding="utf-8"?>
<formControlPr xmlns="http://schemas.microsoft.com/office/spreadsheetml/2009/9/main" objectType="Button" lockText="1"/>
</file>

<file path=xl/ctrlProps/ctrlProp43.xml><?xml version="1.0" encoding="utf-8"?>
<formControlPr xmlns="http://schemas.microsoft.com/office/spreadsheetml/2009/9/main" objectType="Button" lockText="1"/>
</file>

<file path=xl/ctrlProps/ctrlProp44.xml><?xml version="1.0" encoding="utf-8"?>
<formControlPr xmlns="http://schemas.microsoft.com/office/spreadsheetml/2009/9/main" objectType="Button" lockText="1"/>
</file>

<file path=xl/ctrlProps/ctrlProp45.xml><?xml version="1.0" encoding="utf-8"?>
<formControlPr xmlns="http://schemas.microsoft.com/office/spreadsheetml/2009/9/main" objectType="Button" lockText="1"/>
</file>

<file path=xl/ctrlProps/ctrlProp46.xml><?xml version="1.0" encoding="utf-8"?>
<formControlPr xmlns="http://schemas.microsoft.com/office/spreadsheetml/2009/9/main" objectType="Button" lockText="1"/>
</file>

<file path=xl/ctrlProps/ctrlProp47.xml><?xml version="1.0" encoding="utf-8"?>
<formControlPr xmlns="http://schemas.microsoft.com/office/spreadsheetml/2009/9/main" objectType="Button" lockText="1"/>
</file>

<file path=xl/ctrlProps/ctrlProp48.xml><?xml version="1.0" encoding="utf-8"?>
<formControlPr xmlns="http://schemas.microsoft.com/office/spreadsheetml/2009/9/main" objectType="Button" lockText="1"/>
</file>

<file path=xl/ctrlProps/ctrlProp49.xml><?xml version="1.0" encoding="utf-8"?>
<formControlPr xmlns="http://schemas.microsoft.com/office/spreadsheetml/2009/9/main" objectType="Button" lockText="1"/>
</file>

<file path=xl/ctrlProps/ctrlProp50.xml><?xml version="1.0" encoding="utf-8"?>
<formControlPr xmlns="http://schemas.microsoft.com/office/spreadsheetml/2009/9/main" objectType="Button" lockText="1"/>
</file>

<file path=xl/ctrlProps/ctrlProp51.xml><?xml version="1.0" encoding="utf-8"?>
<formControlPr xmlns="http://schemas.microsoft.com/office/spreadsheetml/2009/9/main" objectType="Button" lockText="1"/>
</file>

<file path=xl/ctrlProps/ctrlProp52.xml><?xml version="1.0" encoding="utf-8"?>
<formControlPr xmlns="http://schemas.microsoft.com/office/spreadsheetml/2009/9/main" objectType="Button" lockText="1"/>
</file>

<file path=xl/ctrlProps/ctrlProp53.xml><?xml version="1.0" encoding="utf-8"?>
<formControlPr xmlns="http://schemas.microsoft.com/office/spreadsheetml/2009/9/main" objectType="Button" lockText="1"/>
</file>

<file path=xl/ctrlProps/ctrlProp54.xml><?xml version="1.0" encoding="utf-8"?>
<formControlPr xmlns="http://schemas.microsoft.com/office/spreadsheetml/2009/9/main" objectType="Button" lockText="1"/>
</file>

<file path=xl/ctrlProps/ctrlProp55.xml><?xml version="1.0" encoding="utf-8"?>
<formControlPr xmlns="http://schemas.microsoft.com/office/spreadsheetml/2009/9/main" objectType="Button" lockText="1"/>
</file>

<file path=xl/ctrlProps/ctrlProp56.xml><?xml version="1.0" encoding="utf-8"?>
<formControlPr xmlns="http://schemas.microsoft.com/office/spreadsheetml/2009/9/main" objectType="Button" lockText="1"/>
</file>

<file path=xl/ctrlProps/ctrlProp57.xml><?xml version="1.0" encoding="utf-8"?>
<formControlPr xmlns="http://schemas.microsoft.com/office/spreadsheetml/2009/9/main" objectType="Button" lockText="1"/>
</file>

<file path=xl/ctrlProps/ctrlProp58.xml><?xml version="1.0" encoding="utf-8"?>
<formControlPr xmlns="http://schemas.microsoft.com/office/spreadsheetml/2009/9/main" objectType="Button" lockText="1"/>
</file>

<file path=xl/ctrlProps/ctrlProp59.xml><?xml version="1.0" encoding="utf-8"?>
<formControlPr xmlns="http://schemas.microsoft.com/office/spreadsheetml/2009/9/main" objectType="Button" lockText="1"/>
</file>

<file path=xl/ctrlProps/ctrlProp60.xml><?xml version="1.0" encoding="utf-8"?>
<formControlPr xmlns="http://schemas.microsoft.com/office/spreadsheetml/2009/9/main" objectType="Button" lockText="1"/>
</file>

<file path=xl/ctrlProps/ctrlProp61.xml><?xml version="1.0" encoding="utf-8"?>
<formControlPr xmlns="http://schemas.microsoft.com/office/spreadsheetml/2009/9/main" objectType="Button" lockText="1"/>
</file>

<file path=xl/ctrlProps/ctrlProp62.xml><?xml version="1.0" encoding="utf-8"?>
<formControlPr xmlns="http://schemas.microsoft.com/office/spreadsheetml/2009/9/main" objectType="Button" lockText="1"/>
</file>

<file path=xl/ctrlProps/ctrlProp63.xml><?xml version="1.0" encoding="utf-8"?>
<formControlPr xmlns="http://schemas.microsoft.com/office/spreadsheetml/2009/9/main" objectType="Button" lockText="1"/>
</file>

<file path=xl/ctrlProps/ctrlProp64.xml><?xml version="1.0" encoding="utf-8"?>
<formControlPr xmlns="http://schemas.microsoft.com/office/spreadsheetml/2009/9/main" objectType="Button" lockText="1"/>
</file>

<file path=xl/ctrlProps/ctrlProp65.xml><?xml version="1.0" encoding="utf-8"?>
<formControlPr xmlns="http://schemas.microsoft.com/office/spreadsheetml/2009/9/main" objectType="Button" lockText="1"/>
</file>

<file path=xl/ctrlProps/ctrlProp66.xml><?xml version="1.0" encoding="utf-8"?>
<formControlPr xmlns="http://schemas.microsoft.com/office/spreadsheetml/2009/9/main" objectType="Button" lockText="1"/>
</file>

<file path=xl/ctrlProps/ctrlProp67.xml><?xml version="1.0" encoding="utf-8"?>
<formControlPr xmlns="http://schemas.microsoft.com/office/spreadsheetml/2009/9/main" objectType="Button" lockText="1"/>
</file>

<file path=xl/ctrlProps/ctrlProp68.xml><?xml version="1.0" encoding="utf-8"?>
<formControlPr xmlns="http://schemas.microsoft.com/office/spreadsheetml/2009/9/main" objectType="Button" lockText="1"/>
</file>

<file path=xl/ctrlProps/ctrlProp69.xml><?xml version="1.0" encoding="utf-8"?>
<formControlPr xmlns="http://schemas.microsoft.com/office/spreadsheetml/2009/9/main" objectType="Button" lockText="1"/>
</file>

<file path=xl/ctrlProps/ctrlProp70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0</xdr:colOff>
          <xdr:row>40</xdr:row>
          <xdr:rowOff>0</xdr:rowOff>
        </xdr:from>
        <xdr:to>
          <xdr:col>13</xdr:col>
          <xdr:colOff>0</xdr:colOff>
          <xdr:row>40</xdr:row>
          <xdr:rowOff>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go to mon pokies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0</xdr:colOff>
          <xdr:row>40</xdr:row>
          <xdr:rowOff>0</xdr:rowOff>
        </xdr:from>
        <xdr:to>
          <xdr:col>13</xdr:col>
          <xdr:colOff>0</xdr:colOff>
          <xdr:row>40</xdr:row>
          <xdr:rowOff>9525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Safe Count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42</xdr:row>
          <xdr:rowOff>0</xdr:rowOff>
        </xdr:from>
        <xdr:to>
          <xdr:col>14</xdr:col>
          <xdr:colOff>0</xdr:colOff>
          <xdr:row>42</xdr:row>
          <xdr:rowOff>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go to mon pokies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42</xdr:row>
          <xdr:rowOff>0</xdr:rowOff>
        </xdr:from>
        <xdr:to>
          <xdr:col>14</xdr:col>
          <xdr:colOff>0</xdr:colOff>
          <xdr:row>42</xdr:row>
          <xdr:rowOff>9525</xdr:rowOff>
        </xdr:to>
        <xdr:sp macro="" textlink="">
          <xdr:nvSpPr>
            <xdr:cNvPr id="2050" name="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Safe Count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0</xdr:colOff>
          <xdr:row>40</xdr:row>
          <xdr:rowOff>0</xdr:rowOff>
        </xdr:from>
        <xdr:to>
          <xdr:col>13</xdr:col>
          <xdr:colOff>0</xdr:colOff>
          <xdr:row>40</xdr:row>
          <xdr:rowOff>0</xdr:rowOff>
        </xdr:to>
        <xdr:sp macro="" textlink="">
          <xdr:nvSpPr>
            <xdr:cNvPr id="2051" name="Button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2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go to mon pokies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0</xdr:colOff>
          <xdr:row>40</xdr:row>
          <xdr:rowOff>0</xdr:rowOff>
        </xdr:from>
        <xdr:to>
          <xdr:col>13</xdr:col>
          <xdr:colOff>0</xdr:colOff>
          <xdr:row>40</xdr:row>
          <xdr:rowOff>9525</xdr:rowOff>
        </xdr:to>
        <xdr:sp macro="" textlink="">
          <xdr:nvSpPr>
            <xdr:cNvPr id="2052" name="Button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2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Safe Count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35</xdr:row>
          <xdr:rowOff>0</xdr:rowOff>
        </xdr:from>
        <xdr:to>
          <xdr:col>14</xdr:col>
          <xdr:colOff>0</xdr:colOff>
          <xdr:row>35</xdr:row>
          <xdr:rowOff>0</xdr:rowOff>
        </xdr:to>
        <xdr:sp macro="" textlink="">
          <xdr:nvSpPr>
            <xdr:cNvPr id="2053" name="Button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2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go to mon pokies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35</xdr:row>
          <xdr:rowOff>0</xdr:rowOff>
        </xdr:from>
        <xdr:to>
          <xdr:col>14</xdr:col>
          <xdr:colOff>0</xdr:colOff>
          <xdr:row>35</xdr:row>
          <xdr:rowOff>9525</xdr:rowOff>
        </xdr:to>
        <xdr:sp macro="" textlink="">
          <xdr:nvSpPr>
            <xdr:cNvPr id="2054" name="Button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2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Safe Count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42</xdr:row>
          <xdr:rowOff>0</xdr:rowOff>
        </xdr:from>
        <xdr:to>
          <xdr:col>14</xdr:col>
          <xdr:colOff>0</xdr:colOff>
          <xdr:row>42</xdr:row>
          <xdr:rowOff>0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4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go to mon pokies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42</xdr:row>
          <xdr:rowOff>0</xdr:rowOff>
        </xdr:from>
        <xdr:to>
          <xdr:col>14</xdr:col>
          <xdr:colOff>0</xdr:colOff>
          <xdr:row>42</xdr:row>
          <xdr:rowOff>9525</xdr:rowOff>
        </xdr:to>
        <xdr:sp macro="" textlink="">
          <xdr:nvSpPr>
            <xdr:cNvPr id="3074" name="Button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4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Safe Count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0</xdr:colOff>
          <xdr:row>40</xdr:row>
          <xdr:rowOff>0</xdr:rowOff>
        </xdr:from>
        <xdr:to>
          <xdr:col>13</xdr:col>
          <xdr:colOff>0</xdr:colOff>
          <xdr:row>40</xdr:row>
          <xdr:rowOff>0</xdr:rowOff>
        </xdr:to>
        <xdr:sp macro="" textlink="">
          <xdr:nvSpPr>
            <xdr:cNvPr id="3075" name="Button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4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go to mon pokies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0</xdr:colOff>
          <xdr:row>40</xdr:row>
          <xdr:rowOff>0</xdr:rowOff>
        </xdr:from>
        <xdr:to>
          <xdr:col>13</xdr:col>
          <xdr:colOff>0</xdr:colOff>
          <xdr:row>40</xdr:row>
          <xdr:rowOff>9525</xdr:rowOff>
        </xdr:to>
        <xdr:sp macro="" textlink="">
          <xdr:nvSpPr>
            <xdr:cNvPr id="3076" name="Button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4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Safe Count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0</xdr:colOff>
          <xdr:row>40</xdr:row>
          <xdr:rowOff>0</xdr:rowOff>
        </xdr:from>
        <xdr:to>
          <xdr:col>13</xdr:col>
          <xdr:colOff>0</xdr:colOff>
          <xdr:row>40</xdr:row>
          <xdr:rowOff>0</xdr:rowOff>
        </xdr:to>
        <xdr:sp macro="" textlink="">
          <xdr:nvSpPr>
            <xdr:cNvPr id="3077" name="Button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4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go to mon pokies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0</xdr:colOff>
          <xdr:row>40</xdr:row>
          <xdr:rowOff>0</xdr:rowOff>
        </xdr:from>
        <xdr:to>
          <xdr:col>13</xdr:col>
          <xdr:colOff>0</xdr:colOff>
          <xdr:row>40</xdr:row>
          <xdr:rowOff>9525</xdr:rowOff>
        </xdr:to>
        <xdr:sp macro="" textlink="">
          <xdr:nvSpPr>
            <xdr:cNvPr id="3078" name="Button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4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Safe Count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42</xdr:row>
          <xdr:rowOff>0</xdr:rowOff>
        </xdr:from>
        <xdr:to>
          <xdr:col>14</xdr:col>
          <xdr:colOff>0</xdr:colOff>
          <xdr:row>42</xdr:row>
          <xdr:rowOff>0</xdr:rowOff>
        </xdr:to>
        <xdr:sp macro="" textlink="">
          <xdr:nvSpPr>
            <xdr:cNvPr id="3079" name="Button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4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go to mon pokies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42</xdr:row>
          <xdr:rowOff>0</xdr:rowOff>
        </xdr:from>
        <xdr:to>
          <xdr:col>14</xdr:col>
          <xdr:colOff>0</xdr:colOff>
          <xdr:row>42</xdr:row>
          <xdr:rowOff>9525</xdr:rowOff>
        </xdr:to>
        <xdr:sp macro="" textlink="">
          <xdr:nvSpPr>
            <xdr:cNvPr id="3080" name="Button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4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Safe Count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0</xdr:colOff>
          <xdr:row>40</xdr:row>
          <xdr:rowOff>0</xdr:rowOff>
        </xdr:from>
        <xdr:to>
          <xdr:col>13</xdr:col>
          <xdr:colOff>0</xdr:colOff>
          <xdr:row>40</xdr:row>
          <xdr:rowOff>0</xdr:rowOff>
        </xdr:to>
        <xdr:sp macro="" textlink="">
          <xdr:nvSpPr>
            <xdr:cNvPr id="3081" name="Button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4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go to mon pokies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0</xdr:colOff>
          <xdr:row>40</xdr:row>
          <xdr:rowOff>0</xdr:rowOff>
        </xdr:from>
        <xdr:to>
          <xdr:col>13</xdr:col>
          <xdr:colOff>0</xdr:colOff>
          <xdr:row>40</xdr:row>
          <xdr:rowOff>9525</xdr:rowOff>
        </xdr:to>
        <xdr:sp macro="" textlink="">
          <xdr:nvSpPr>
            <xdr:cNvPr id="3082" name="Button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4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Safe Count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35</xdr:row>
          <xdr:rowOff>0</xdr:rowOff>
        </xdr:from>
        <xdr:to>
          <xdr:col>14</xdr:col>
          <xdr:colOff>0</xdr:colOff>
          <xdr:row>35</xdr:row>
          <xdr:rowOff>0</xdr:rowOff>
        </xdr:to>
        <xdr:sp macro="" textlink="">
          <xdr:nvSpPr>
            <xdr:cNvPr id="3083" name="Button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4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go to mon pokies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35</xdr:row>
          <xdr:rowOff>0</xdr:rowOff>
        </xdr:from>
        <xdr:to>
          <xdr:col>14</xdr:col>
          <xdr:colOff>0</xdr:colOff>
          <xdr:row>35</xdr:row>
          <xdr:rowOff>9525</xdr:rowOff>
        </xdr:to>
        <xdr:sp macro="" textlink="">
          <xdr:nvSpPr>
            <xdr:cNvPr id="3084" name="Button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4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Safe Count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35</xdr:row>
          <xdr:rowOff>0</xdr:rowOff>
        </xdr:from>
        <xdr:to>
          <xdr:col>14</xdr:col>
          <xdr:colOff>0</xdr:colOff>
          <xdr:row>35</xdr:row>
          <xdr:rowOff>0</xdr:rowOff>
        </xdr:to>
        <xdr:sp macro="" textlink="">
          <xdr:nvSpPr>
            <xdr:cNvPr id="3085" name="Button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4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go to mon pokies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35</xdr:row>
          <xdr:rowOff>0</xdr:rowOff>
        </xdr:from>
        <xdr:to>
          <xdr:col>14</xdr:col>
          <xdr:colOff>0</xdr:colOff>
          <xdr:row>35</xdr:row>
          <xdr:rowOff>9525</xdr:rowOff>
        </xdr:to>
        <xdr:sp macro="" textlink="">
          <xdr:nvSpPr>
            <xdr:cNvPr id="3086" name="Button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4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Safe Count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42</xdr:row>
          <xdr:rowOff>0</xdr:rowOff>
        </xdr:from>
        <xdr:to>
          <xdr:col>14</xdr:col>
          <xdr:colOff>0</xdr:colOff>
          <xdr:row>42</xdr:row>
          <xdr:rowOff>0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6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go to mon pokies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42</xdr:row>
          <xdr:rowOff>0</xdr:rowOff>
        </xdr:from>
        <xdr:to>
          <xdr:col>14</xdr:col>
          <xdr:colOff>0</xdr:colOff>
          <xdr:row>42</xdr:row>
          <xdr:rowOff>9525</xdr:rowOff>
        </xdr:to>
        <xdr:sp macro="" textlink="">
          <xdr:nvSpPr>
            <xdr:cNvPr id="4098" name="Button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6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Safe Count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0</xdr:colOff>
          <xdr:row>40</xdr:row>
          <xdr:rowOff>0</xdr:rowOff>
        </xdr:from>
        <xdr:to>
          <xdr:col>13</xdr:col>
          <xdr:colOff>0</xdr:colOff>
          <xdr:row>40</xdr:row>
          <xdr:rowOff>0</xdr:rowOff>
        </xdr:to>
        <xdr:sp macro="" textlink="">
          <xdr:nvSpPr>
            <xdr:cNvPr id="4099" name="Button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6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go to mon pokies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0</xdr:colOff>
          <xdr:row>40</xdr:row>
          <xdr:rowOff>0</xdr:rowOff>
        </xdr:from>
        <xdr:to>
          <xdr:col>13</xdr:col>
          <xdr:colOff>0</xdr:colOff>
          <xdr:row>40</xdr:row>
          <xdr:rowOff>9525</xdr:rowOff>
        </xdr:to>
        <xdr:sp macro="" textlink="">
          <xdr:nvSpPr>
            <xdr:cNvPr id="4100" name="Button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6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Safe Count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42</xdr:row>
          <xdr:rowOff>0</xdr:rowOff>
        </xdr:from>
        <xdr:to>
          <xdr:col>14</xdr:col>
          <xdr:colOff>0</xdr:colOff>
          <xdr:row>42</xdr:row>
          <xdr:rowOff>0</xdr:rowOff>
        </xdr:to>
        <xdr:sp macro="" textlink="">
          <xdr:nvSpPr>
            <xdr:cNvPr id="4101" name="Button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6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go to mon pokies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42</xdr:row>
          <xdr:rowOff>0</xdr:rowOff>
        </xdr:from>
        <xdr:to>
          <xdr:col>14</xdr:col>
          <xdr:colOff>0</xdr:colOff>
          <xdr:row>42</xdr:row>
          <xdr:rowOff>9525</xdr:rowOff>
        </xdr:to>
        <xdr:sp macro="" textlink="">
          <xdr:nvSpPr>
            <xdr:cNvPr id="4102" name="Button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6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Safe Count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0</xdr:colOff>
          <xdr:row>40</xdr:row>
          <xdr:rowOff>0</xdr:rowOff>
        </xdr:from>
        <xdr:to>
          <xdr:col>13</xdr:col>
          <xdr:colOff>0</xdr:colOff>
          <xdr:row>40</xdr:row>
          <xdr:rowOff>0</xdr:rowOff>
        </xdr:to>
        <xdr:sp macro="" textlink="">
          <xdr:nvSpPr>
            <xdr:cNvPr id="4103" name="Button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6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go to mon pokies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0</xdr:colOff>
          <xdr:row>40</xdr:row>
          <xdr:rowOff>0</xdr:rowOff>
        </xdr:from>
        <xdr:to>
          <xdr:col>13</xdr:col>
          <xdr:colOff>0</xdr:colOff>
          <xdr:row>40</xdr:row>
          <xdr:rowOff>9525</xdr:rowOff>
        </xdr:to>
        <xdr:sp macro="" textlink="">
          <xdr:nvSpPr>
            <xdr:cNvPr id="4104" name="Button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6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Safe Count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35</xdr:row>
          <xdr:rowOff>0</xdr:rowOff>
        </xdr:from>
        <xdr:to>
          <xdr:col>14</xdr:col>
          <xdr:colOff>0</xdr:colOff>
          <xdr:row>35</xdr:row>
          <xdr:rowOff>0</xdr:rowOff>
        </xdr:to>
        <xdr:sp macro="" textlink="">
          <xdr:nvSpPr>
            <xdr:cNvPr id="4105" name="Button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6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go to mon pokies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35</xdr:row>
          <xdr:rowOff>0</xdr:rowOff>
        </xdr:from>
        <xdr:to>
          <xdr:col>14</xdr:col>
          <xdr:colOff>0</xdr:colOff>
          <xdr:row>35</xdr:row>
          <xdr:rowOff>9525</xdr:rowOff>
        </xdr:to>
        <xdr:sp macro="" textlink="">
          <xdr:nvSpPr>
            <xdr:cNvPr id="4106" name="Button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6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Safe Count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35</xdr:row>
          <xdr:rowOff>0</xdr:rowOff>
        </xdr:from>
        <xdr:to>
          <xdr:col>14</xdr:col>
          <xdr:colOff>0</xdr:colOff>
          <xdr:row>35</xdr:row>
          <xdr:rowOff>0</xdr:rowOff>
        </xdr:to>
        <xdr:sp macro="" textlink="">
          <xdr:nvSpPr>
            <xdr:cNvPr id="4107" name="Button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6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go to mon pokies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35</xdr:row>
          <xdr:rowOff>0</xdr:rowOff>
        </xdr:from>
        <xdr:to>
          <xdr:col>14</xdr:col>
          <xdr:colOff>0</xdr:colOff>
          <xdr:row>35</xdr:row>
          <xdr:rowOff>9525</xdr:rowOff>
        </xdr:to>
        <xdr:sp macro="" textlink="">
          <xdr:nvSpPr>
            <xdr:cNvPr id="4108" name="Button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6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Safe Count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42</xdr:row>
          <xdr:rowOff>0</xdr:rowOff>
        </xdr:from>
        <xdr:to>
          <xdr:col>14</xdr:col>
          <xdr:colOff>0</xdr:colOff>
          <xdr:row>42</xdr:row>
          <xdr:rowOff>0</xdr:rowOff>
        </xdr:to>
        <xdr:sp macro="" textlink="">
          <xdr:nvSpPr>
            <xdr:cNvPr id="5121" name="Butto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8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go to mon pokies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42</xdr:row>
          <xdr:rowOff>0</xdr:rowOff>
        </xdr:from>
        <xdr:to>
          <xdr:col>14</xdr:col>
          <xdr:colOff>0</xdr:colOff>
          <xdr:row>42</xdr:row>
          <xdr:rowOff>9525</xdr:rowOff>
        </xdr:to>
        <xdr:sp macro="" textlink="">
          <xdr:nvSpPr>
            <xdr:cNvPr id="5122" name="Button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8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Safe Count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0</xdr:colOff>
          <xdr:row>40</xdr:row>
          <xdr:rowOff>0</xdr:rowOff>
        </xdr:from>
        <xdr:to>
          <xdr:col>13</xdr:col>
          <xdr:colOff>0</xdr:colOff>
          <xdr:row>40</xdr:row>
          <xdr:rowOff>0</xdr:rowOff>
        </xdr:to>
        <xdr:sp macro="" textlink="">
          <xdr:nvSpPr>
            <xdr:cNvPr id="5123" name="Button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8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go to mon pokies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0</xdr:colOff>
          <xdr:row>40</xdr:row>
          <xdr:rowOff>0</xdr:rowOff>
        </xdr:from>
        <xdr:to>
          <xdr:col>13</xdr:col>
          <xdr:colOff>0</xdr:colOff>
          <xdr:row>40</xdr:row>
          <xdr:rowOff>9525</xdr:rowOff>
        </xdr:to>
        <xdr:sp macro="" textlink="">
          <xdr:nvSpPr>
            <xdr:cNvPr id="5124" name="Button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8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Safe Count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42</xdr:row>
          <xdr:rowOff>0</xdr:rowOff>
        </xdr:from>
        <xdr:to>
          <xdr:col>14</xdr:col>
          <xdr:colOff>0</xdr:colOff>
          <xdr:row>42</xdr:row>
          <xdr:rowOff>0</xdr:rowOff>
        </xdr:to>
        <xdr:sp macro="" textlink="">
          <xdr:nvSpPr>
            <xdr:cNvPr id="5125" name="Button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8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go to mon pokies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42</xdr:row>
          <xdr:rowOff>0</xdr:rowOff>
        </xdr:from>
        <xdr:to>
          <xdr:col>14</xdr:col>
          <xdr:colOff>0</xdr:colOff>
          <xdr:row>42</xdr:row>
          <xdr:rowOff>9525</xdr:rowOff>
        </xdr:to>
        <xdr:sp macro="" textlink="">
          <xdr:nvSpPr>
            <xdr:cNvPr id="5126" name="Button 6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8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Safe Count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0</xdr:colOff>
          <xdr:row>40</xdr:row>
          <xdr:rowOff>0</xdr:rowOff>
        </xdr:from>
        <xdr:to>
          <xdr:col>13</xdr:col>
          <xdr:colOff>0</xdr:colOff>
          <xdr:row>40</xdr:row>
          <xdr:rowOff>0</xdr:rowOff>
        </xdr:to>
        <xdr:sp macro="" textlink="">
          <xdr:nvSpPr>
            <xdr:cNvPr id="5127" name="Button 7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8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go to mon pokies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0</xdr:colOff>
          <xdr:row>40</xdr:row>
          <xdr:rowOff>0</xdr:rowOff>
        </xdr:from>
        <xdr:to>
          <xdr:col>13</xdr:col>
          <xdr:colOff>0</xdr:colOff>
          <xdr:row>40</xdr:row>
          <xdr:rowOff>9525</xdr:rowOff>
        </xdr:to>
        <xdr:sp macro="" textlink="">
          <xdr:nvSpPr>
            <xdr:cNvPr id="5128" name="Button 8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08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Safe Count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35</xdr:row>
          <xdr:rowOff>0</xdr:rowOff>
        </xdr:from>
        <xdr:to>
          <xdr:col>14</xdr:col>
          <xdr:colOff>0</xdr:colOff>
          <xdr:row>35</xdr:row>
          <xdr:rowOff>0</xdr:rowOff>
        </xdr:to>
        <xdr:sp macro="" textlink="">
          <xdr:nvSpPr>
            <xdr:cNvPr id="5129" name="Button 9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8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go to mon pokies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35</xdr:row>
          <xdr:rowOff>0</xdr:rowOff>
        </xdr:from>
        <xdr:to>
          <xdr:col>14</xdr:col>
          <xdr:colOff>0</xdr:colOff>
          <xdr:row>35</xdr:row>
          <xdr:rowOff>9525</xdr:rowOff>
        </xdr:to>
        <xdr:sp macro="" textlink="">
          <xdr:nvSpPr>
            <xdr:cNvPr id="5130" name="Button 10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8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Safe Count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35</xdr:row>
          <xdr:rowOff>0</xdr:rowOff>
        </xdr:from>
        <xdr:to>
          <xdr:col>14</xdr:col>
          <xdr:colOff>0</xdr:colOff>
          <xdr:row>35</xdr:row>
          <xdr:rowOff>0</xdr:rowOff>
        </xdr:to>
        <xdr:sp macro="" textlink="">
          <xdr:nvSpPr>
            <xdr:cNvPr id="5131" name="Button 11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0800-00000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go to mon pokies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35</xdr:row>
          <xdr:rowOff>0</xdr:rowOff>
        </xdr:from>
        <xdr:to>
          <xdr:col>14</xdr:col>
          <xdr:colOff>0</xdr:colOff>
          <xdr:row>35</xdr:row>
          <xdr:rowOff>9525</xdr:rowOff>
        </xdr:to>
        <xdr:sp macro="" textlink="">
          <xdr:nvSpPr>
            <xdr:cNvPr id="5132" name="Button 12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00000000-0008-0000-0800-00000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Safe Count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42</xdr:row>
          <xdr:rowOff>0</xdr:rowOff>
        </xdr:from>
        <xdr:to>
          <xdr:col>14</xdr:col>
          <xdr:colOff>0</xdr:colOff>
          <xdr:row>42</xdr:row>
          <xdr:rowOff>0</xdr:rowOff>
        </xdr:to>
        <xdr:sp macro="" textlink="">
          <xdr:nvSpPr>
            <xdr:cNvPr id="6145" name="Button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A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go to mon pokies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42</xdr:row>
          <xdr:rowOff>0</xdr:rowOff>
        </xdr:from>
        <xdr:to>
          <xdr:col>14</xdr:col>
          <xdr:colOff>0</xdr:colOff>
          <xdr:row>42</xdr:row>
          <xdr:rowOff>9525</xdr:rowOff>
        </xdr:to>
        <xdr:sp macro="" textlink="">
          <xdr:nvSpPr>
            <xdr:cNvPr id="6146" name="Button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A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Safe Count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0</xdr:colOff>
          <xdr:row>40</xdr:row>
          <xdr:rowOff>0</xdr:rowOff>
        </xdr:from>
        <xdr:to>
          <xdr:col>13</xdr:col>
          <xdr:colOff>0</xdr:colOff>
          <xdr:row>40</xdr:row>
          <xdr:rowOff>0</xdr:rowOff>
        </xdr:to>
        <xdr:sp macro="" textlink="">
          <xdr:nvSpPr>
            <xdr:cNvPr id="6147" name="Button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A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go to mon pokies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0</xdr:colOff>
          <xdr:row>40</xdr:row>
          <xdr:rowOff>0</xdr:rowOff>
        </xdr:from>
        <xdr:to>
          <xdr:col>13</xdr:col>
          <xdr:colOff>0</xdr:colOff>
          <xdr:row>40</xdr:row>
          <xdr:rowOff>9525</xdr:rowOff>
        </xdr:to>
        <xdr:sp macro="" textlink="">
          <xdr:nvSpPr>
            <xdr:cNvPr id="6148" name="Button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A00-00000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Safe Count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42</xdr:row>
          <xdr:rowOff>0</xdr:rowOff>
        </xdr:from>
        <xdr:to>
          <xdr:col>14</xdr:col>
          <xdr:colOff>0</xdr:colOff>
          <xdr:row>42</xdr:row>
          <xdr:rowOff>0</xdr:rowOff>
        </xdr:to>
        <xdr:sp macro="" textlink="">
          <xdr:nvSpPr>
            <xdr:cNvPr id="6149" name="Button 5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00000000-0008-0000-0A00-00000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go to mon pokies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42</xdr:row>
          <xdr:rowOff>0</xdr:rowOff>
        </xdr:from>
        <xdr:to>
          <xdr:col>14</xdr:col>
          <xdr:colOff>0</xdr:colOff>
          <xdr:row>42</xdr:row>
          <xdr:rowOff>9525</xdr:rowOff>
        </xdr:to>
        <xdr:sp macro="" textlink="">
          <xdr:nvSpPr>
            <xdr:cNvPr id="6150" name="Button 6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00000000-0008-0000-0A00-00000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Safe Count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0</xdr:colOff>
          <xdr:row>40</xdr:row>
          <xdr:rowOff>0</xdr:rowOff>
        </xdr:from>
        <xdr:to>
          <xdr:col>13</xdr:col>
          <xdr:colOff>0</xdr:colOff>
          <xdr:row>40</xdr:row>
          <xdr:rowOff>0</xdr:rowOff>
        </xdr:to>
        <xdr:sp macro="" textlink="">
          <xdr:nvSpPr>
            <xdr:cNvPr id="6151" name="Button 7" hidden="1">
              <a:extLst>
                <a:ext uri="{63B3BB69-23CF-44E3-9099-C40C66FF867C}">
                  <a14:compatExt spid="_x0000_s6151"/>
                </a:ext>
                <a:ext uri="{FF2B5EF4-FFF2-40B4-BE49-F238E27FC236}">
                  <a16:creationId xmlns:a16="http://schemas.microsoft.com/office/drawing/2014/main" id="{00000000-0008-0000-0A00-00000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go to mon pokies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0</xdr:colOff>
          <xdr:row>40</xdr:row>
          <xdr:rowOff>0</xdr:rowOff>
        </xdr:from>
        <xdr:to>
          <xdr:col>13</xdr:col>
          <xdr:colOff>0</xdr:colOff>
          <xdr:row>40</xdr:row>
          <xdr:rowOff>9525</xdr:rowOff>
        </xdr:to>
        <xdr:sp macro="" textlink="">
          <xdr:nvSpPr>
            <xdr:cNvPr id="6152" name="Button 8" hidden="1">
              <a:extLst>
                <a:ext uri="{63B3BB69-23CF-44E3-9099-C40C66FF867C}">
                  <a14:compatExt spid="_x0000_s6152"/>
                </a:ext>
                <a:ext uri="{FF2B5EF4-FFF2-40B4-BE49-F238E27FC236}">
                  <a16:creationId xmlns:a16="http://schemas.microsoft.com/office/drawing/2014/main" id="{00000000-0008-0000-0A00-00000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Safe Count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35</xdr:row>
          <xdr:rowOff>0</xdr:rowOff>
        </xdr:from>
        <xdr:to>
          <xdr:col>14</xdr:col>
          <xdr:colOff>0</xdr:colOff>
          <xdr:row>35</xdr:row>
          <xdr:rowOff>0</xdr:rowOff>
        </xdr:to>
        <xdr:sp macro="" textlink="">
          <xdr:nvSpPr>
            <xdr:cNvPr id="6153" name="Button 9" hidden="1">
              <a:extLst>
                <a:ext uri="{63B3BB69-23CF-44E3-9099-C40C66FF867C}">
                  <a14:compatExt spid="_x0000_s6153"/>
                </a:ext>
                <a:ext uri="{FF2B5EF4-FFF2-40B4-BE49-F238E27FC236}">
                  <a16:creationId xmlns:a16="http://schemas.microsoft.com/office/drawing/2014/main" id="{00000000-0008-0000-0A00-00000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go to mon pokies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35</xdr:row>
          <xdr:rowOff>0</xdr:rowOff>
        </xdr:from>
        <xdr:to>
          <xdr:col>14</xdr:col>
          <xdr:colOff>0</xdr:colOff>
          <xdr:row>35</xdr:row>
          <xdr:rowOff>9525</xdr:rowOff>
        </xdr:to>
        <xdr:sp macro="" textlink="">
          <xdr:nvSpPr>
            <xdr:cNvPr id="6154" name="Button 10" hidden="1">
              <a:extLst>
                <a:ext uri="{63B3BB69-23CF-44E3-9099-C40C66FF867C}">
                  <a14:compatExt spid="_x0000_s6154"/>
                </a:ext>
                <a:ext uri="{FF2B5EF4-FFF2-40B4-BE49-F238E27FC236}">
                  <a16:creationId xmlns:a16="http://schemas.microsoft.com/office/drawing/2014/main" id="{00000000-0008-0000-0A00-00000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Safe Count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35</xdr:row>
          <xdr:rowOff>0</xdr:rowOff>
        </xdr:from>
        <xdr:to>
          <xdr:col>14</xdr:col>
          <xdr:colOff>0</xdr:colOff>
          <xdr:row>35</xdr:row>
          <xdr:rowOff>0</xdr:rowOff>
        </xdr:to>
        <xdr:sp macro="" textlink="">
          <xdr:nvSpPr>
            <xdr:cNvPr id="6155" name="Button 11" hidden="1">
              <a:extLst>
                <a:ext uri="{63B3BB69-23CF-44E3-9099-C40C66FF867C}">
                  <a14:compatExt spid="_x0000_s6155"/>
                </a:ext>
                <a:ext uri="{FF2B5EF4-FFF2-40B4-BE49-F238E27FC236}">
                  <a16:creationId xmlns:a16="http://schemas.microsoft.com/office/drawing/2014/main" id="{00000000-0008-0000-0A00-00000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go to mon pokies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35</xdr:row>
          <xdr:rowOff>0</xdr:rowOff>
        </xdr:from>
        <xdr:to>
          <xdr:col>14</xdr:col>
          <xdr:colOff>0</xdr:colOff>
          <xdr:row>35</xdr:row>
          <xdr:rowOff>9525</xdr:rowOff>
        </xdr:to>
        <xdr:sp macro="" textlink="">
          <xdr:nvSpPr>
            <xdr:cNvPr id="6156" name="Button 12" hidden="1">
              <a:extLst>
                <a:ext uri="{63B3BB69-23CF-44E3-9099-C40C66FF867C}">
                  <a14:compatExt spid="_x0000_s6156"/>
                </a:ext>
                <a:ext uri="{FF2B5EF4-FFF2-40B4-BE49-F238E27FC236}">
                  <a16:creationId xmlns:a16="http://schemas.microsoft.com/office/drawing/2014/main" id="{00000000-0008-0000-0A00-00000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Safe Count</a:t>
              </a:r>
            </a:p>
          </xdr:txBody>
        </xdr:sp>
        <xdr:clientData fPrintsWithSheet="0"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42</xdr:row>
          <xdr:rowOff>0</xdr:rowOff>
        </xdr:from>
        <xdr:to>
          <xdr:col>14</xdr:col>
          <xdr:colOff>0</xdr:colOff>
          <xdr:row>42</xdr:row>
          <xdr:rowOff>0</xdr:rowOff>
        </xdr:to>
        <xdr:sp macro="" textlink="">
          <xdr:nvSpPr>
            <xdr:cNvPr id="7169" name="Button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C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go to mon pokies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42</xdr:row>
          <xdr:rowOff>0</xdr:rowOff>
        </xdr:from>
        <xdr:to>
          <xdr:col>14</xdr:col>
          <xdr:colOff>0</xdr:colOff>
          <xdr:row>42</xdr:row>
          <xdr:rowOff>9525</xdr:rowOff>
        </xdr:to>
        <xdr:sp macro="" textlink="">
          <xdr:nvSpPr>
            <xdr:cNvPr id="7170" name="Button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C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Safe Count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0</xdr:colOff>
          <xdr:row>40</xdr:row>
          <xdr:rowOff>0</xdr:rowOff>
        </xdr:from>
        <xdr:to>
          <xdr:col>13</xdr:col>
          <xdr:colOff>0</xdr:colOff>
          <xdr:row>40</xdr:row>
          <xdr:rowOff>0</xdr:rowOff>
        </xdr:to>
        <xdr:sp macro="" textlink="">
          <xdr:nvSpPr>
            <xdr:cNvPr id="7171" name="Button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C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go to mon pokies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0</xdr:colOff>
          <xdr:row>40</xdr:row>
          <xdr:rowOff>0</xdr:rowOff>
        </xdr:from>
        <xdr:to>
          <xdr:col>13</xdr:col>
          <xdr:colOff>0</xdr:colOff>
          <xdr:row>40</xdr:row>
          <xdr:rowOff>9525</xdr:rowOff>
        </xdr:to>
        <xdr:sp macro="" textlink="">
          <xdr:nvSpPr>
            <xdr:cNvPr id="7172" name="Button 4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00000000-0008-0000-0C00-00000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Safe Count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42</xdr:row>
          <xdr:rowOff>0</xdr:rowOff>
        </xdr:from>
        <xdr:to>
          <xdr:col>14</xdr:col>
          <xdr:colOff>0</xdr:colOff>
          <xdr:row>42</xdr:row>
          <xdr:rowOff>0</xdr:rowOff>
        </xdr:to>
        <xdr:sp macro="" textlink="">
          <xdr:nvSpPr>
            <xdr:cNvPr id="7173" name="Button 5" hidden="1">
              <a:extLst>
                <a:ext uri="{63B3BB69-23CF-44E3-9099-C40C66FF867C}">
                  <a14:compatExt spid="_x0000_s7173"/>
                </a:ext>
                <a:ext uri="{FF2B5EF4-FFF2-40B4-BE49-F238E27FC236}">
                  <a16:creationId xmlns:a16="http://schemas.microsoft.com/office/drawing/2014/main" id="{00000000-0008-0000-0C00-00000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go to mon pokies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42</xdr:row>
          <xdr:rowOff>0</xdr:rowOff>
        </xdr:from>
        <xdr:to>
          <xdr:col>14</xdr:col>
          <xdr:colOff>0</xdr:colOff>
          <xdr:row>42</xdr:row>
          <xdr:rowOff>9525</xdr:rowOff>
        </xdr:to>
        <xdr:sp macro="" textlink="">
          <xdr:nvSpPr>
            <xdr:cNvPr id="7174" name="Button 6" hidden="1">
              <a:extLst>
                <a:ext uri="{63B3BB69-23CF-44E3-9099-C40C66FF867C}">
                  <a14:compatExt spid="_x0000_s7174"/>
                </a:ext>
                <a:ext uri="{FF2B5EF4-FFF2-40B4-BE49-F238E27FC236}">
                  <a16:creationId xmlns:a16="http://schemas.microsoft.com/office/drawing/2014/main" id="{00000000-0008-0000-0C00-00000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Safe Count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0</xdr:colOff>
          <xdr:row>40</xdr:row>
          <xdr:rowOff>0</xdr:rowOff>
        </xdr:from>
        <xdr:to>
          <xdr:col>13</xdr:col>
          <xdr:colOff>0</xdr:colOff>
          <xdr:row>40</xdr:row>
          <xdr:rowOff>0</xdr:rowOff>
        </xdr:to>
        <xdr:sp macro="" textlink="">
          <xdr:nvSpPr>
            <xdr:cNvPr id="7175" name="Button 7" hidden="1">
              <a:extLst>
                <a:ext uri="{63B3BB69-23CF-44E3-9099-C40C66FF867C}">
                  <a14:compatExt spid="_x0000_s7175"/>
                </a:ext>
                <a:ext uri="{FF2B5EF4-FFF2-40B4-BE49-F238E27FC236}">
                  <a16:creationId xmlns:a16="http://schemas.microsoft.com/office/drawing/2014/main" id="{00000000-0008-0000-0C00-00000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go to mon pokies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0</xdr:colOff>
          <xdr:row>40</xdr:row>
          <xdr:rowOff>0</xdr:rowOff>
        </xdr:from>
        <xdr:to>
          <xdr:col>13</xdr:col>
          <xdr:colOff>0</xdr:colOff>
          <xdr:row>40</xdr:row>
          <xdr:rowOff>9525</xdr:rowOff>
        </xdr:to>
        <xdr:sp macro="" textlink="">
          <xdr:nvSpPr>
            <xdr:cNvPr id="7176" name="Button 8" hidden="1">
              <a:extLst>
                <a:ext uri="{63B3BB69-23CF-44E3-9099-C40C66FF867C}">
                  <a14:compatExt spid="_x0000_s7176"/>
                </a:ext>
                <a:ext uri="{FF2B5EF4-FFF2-40B4-BE49-F238E27FC236}">
                  <a16:creationId xmlns:a16="http://schemas.microsoft.com/office/drawing/2014/main" id="{00000000-0008-0000-0C00-00000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Safe Count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35</xdr:row>
          <xdr:rowOff>0</xdr:rowOff>
        </xdr:from>
        <xdr:to>
          <xdr:col>14</xdr:col>
          <xdr:colOff>0</xdr:colOff>
          <xdr:row>35</xdr:row>
          <xdr:rowOff>0</xdr:rowOff>
        </xdr:to>
        <xdr:sp macro="" textlink="">
          <xdr:nvSpPr>
            <xdr:cNvPr id="7177" name="Button 9" hidden="1">
              <a:extLst>
                <a:ext uri="{63B3BB69-23CF-44E3-9099-C40C66FF867C}">
                  <a14:compatExt spid="_x0000_s7177"/>
                </a:ext>
                <a:ext uri="{FF2B5EF4-FFF2-40B4-BE49-F238E27FC236}">
                  <a16:creationId xmlns:a16="http://schemas.microsoft.com/office/drawing/2014/main" id="{00000000-0008-0000-0C00-00000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go to mon pokies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35</xdr:row>
          <xdr:rowOff>0</xdr:rowOff>
        </xdr:from>
        <xdr:to>
          <xdr:col>14</xdr:col>
          <xdr:colOff>0</xdr:colOff>
          <xdr:row>35</xdr:row>
          <xdr:rowOff>9525</xdr:rowOff>
        </xdr:to>
        <xdr:sp macro="" textlink="">
          <xdr:nvSpPr>
            <xdr:cNvPr id="7178" name="Button 10" hidden="1">
              <a:extLst>
                <a:ext uri="{63B3BB69-23CF-44E3-9099-C40C66FF867C}">
                  <a14:compatExt spid="_x0000_s7178"/>
                </a:ext>
                <a:ext uri="{FF2B5EF4-FFF2-40B4-BE49-F238E27FC236}">
                  <a16:creationId xmlns:a16="http://schemas.microsoft.com/office/drawing/2014/main" id="{00000000-0008-0000-0C00-00000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Safe Count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35</xdr:row>
          <xdr:rowOff>0</xdr:rowOff>
        </xdr:from>
        <xdr:to>
          <xdr:col>14</xdr:col>
          <xdr:colOff>0</xdr:colOff>
          <xdr:row>35</xdr:row>
          <xdr:rowOff>0</xdr:rowOff>
        </xdr:to>
        <xdr:sp macro="" textlink="">
          <xdr:nvSpPr>
            <xdr:cNvPr id="7179" name="Button 11" hidden="1">
              <a:extLst>
                <a:ext uri="{63B3BB69-23CF-44E3-9099-C40C66FF867C}">
                  <a14:compatExt spid="_x0000_s7179"/>
                </a:ext>
                <a:ext uri="{FF2B5EF4-FFF2-40B4-BE49-F238E27FC236}">
                  <a16:creationId xmlns:a16="http://schemas.microsoft.com/office/drawing/2014/main" id="{00000000-0008-0000-0C00-00000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go to mon pokies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35</xdr:row>
          <xdr:rowOff>0</xdr:rowOff>
        </xdr:from>
        <xdr:to>
          <xdr:col>14</xdr:col>
          <xdr:colOff>0</xdr:colOff>
          <xdr:row>35</xdr:row>
          <xdr:rowOff>9525</xdr:rowOff>
        </xdr:to>
        <xdr:sp macro="" textlink="">
          <xdr:nvSpPr>
            <xdr:cNvPr id="7180" name="Button 12" hidden="1">
              <a:extLst>
                <a:ext uri="{63B3BB69-23CF-44E3-9099-C40C66FF867C}">
                  <a14:compatExt spid="_x0000_s7180"/>
                </a:ext>
                <a:ext uri="{FF2B5EF4-FFF2-40B4-BE49-F238E27FC236}">
                  <a16:creationId xmlns:a16="http://schemas.microsoft.com/office/drawing/2014/main" id="{00000000-0008-0000-0C00-00000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Safe Count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7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6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5.xml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Relationship Id="rId9" Type="http://schemas.openxmlformats.org/officeDocument/2006/relationships/ctrlProp" Target="../ctrlProps/ctrlProp8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3.xml"/><Relationship Id="rId13" Type="http://schemas.openxmlformats.org/officeDocument/2006/relationships/ctrlProp" Target="../ctrlProps/ctrlProp18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12.xml"/><Relationship Id="rId12" Type="http://schemas.openxmlformats.org/officeDocument/2006/relationships/ctrlProp" Target="../ctrlProps/ctrlProp17.xml"/><Relationship Id="rId17" Type="http://schemas.openxmlformats.org/officeDocument/2006/relationships/ctrlProp" Target="../ctrlProps/ctrlProp22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21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11.xml"/><Relationship Id="rId11" Type="http://schemas.openxmlformats.org/officeDocument/2006/relationships/ctrlProp" Target="../ctrlProps/ctrlProp16.xml"/><Relationship Id="rId5" Type="http://schemas.openxmlformats.org/officeDocument/2006/relationships/ctrlProp" Target="../ctrlProps/ctrlProp10.xml"/><Relationship Id="rId15" Type="http://schemas.openxmlformats.org/officeDocument/2006/relationships/ctrlProp" Target="../ctrlProps/ctrlProp20.xml"/><Relationship Id="rId10" Type="http://schemas.openxmlformats.org/officeDocument/2006/relationships/ctrlProp" Target="../ctrlProps/ctrlProp15.xml"/><Relationship Id="rId4" Type="http://schemas.openxmlformats.org/officeDocument/2006/relationships/ctrlProp" Target="../ctrlProps/ctrlProp9.xml"/><Relationship Id="rId9" Type="http://schemas.openxmlformats.org/officeDocument/2006/relationships/ctrlProp" Target="../ctrlProps/ctrlProp14.xml"/><Relationship Id="rId14" Type="http://schemas.openxmlformats.org/officeDocument/2006/relationships/ctrlProp" Target="../ctrlProps/ctrlProp1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7.xml"/><Relationship Id="rId13" Type="http://schemas.openxmlformats.org/officeDocument/2006/relationships/ctrlProp" Target="../ctrlProps/ctrlProp32.xml"/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26.xml"/><Relationship Id="rId12" Type="http://schemas.openxmlformats.org/officeDocument/2006/relationships/ctrlProp" Target="../ctrlProps/ctrlProp3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25.xml"/><Relationship Id="rId11" Type="http://schemas.openxmlformats.org/officeDocument/2006/relationships/ctrlProp" Target="../ctrlProps/ctrlProp30.xml"/><Relationship Id="rId5" Type="http://schemas.openxmlformats.org/officeDocument/2006/relationships/ctrlProp" Target="../ctrlProps/ctrlProp24.xml"/><Relationship Id="rId15" Type="http://schemas.openxmlformats.org/officeDocument/2006/relationships/ctrlProp" Target="../ctrlProps/ctrlProp34.xml"/><Relationship Id="rId10" Type="http://schemas.openxmlformats.org/officeDocument/2006/relationships/ctrlProp" Target="../ctrlProps/ctrlProp29.xml"/><Relationship Id="rId4" Type="http://schemas.openxmlformats.org/officeDocument/2006/relationships/ctrlProp" Target="../ctrlProps/ctrlProp23.xml"/><Relationship Id="rId9" Type="http://schemas.openxmlformats.org/officeDocument/2006/relationships/ctrlProp" Target="../ctrlProps/ctrlProp28.xml"/><Relationship Id="rId14" Type="http://schemas.openxmlformats.org/officeDocument/2006/relationships/ctrlProp" Target="../ctrlProps/ctrlProp3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9.xml"/><Relationship Id="rId13" Type="http://schemas.openxmlformats.org/officeDocument/2006/relationships/ctrlProp" Target="../ctrlProps/ctrlProp44.xml"/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38.xml"/><Relationship Id="rId12" Type="http://schemas.openxmlformats.org/officeDocument/2006/relationships/ctrlProp" Target="../ctrlProps/ctrlProp43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Relationship Id="rId6" Type="http://schemas.openxmlformats.org/officeDocument/2006/relationships/ctrlProp" Target="../ctrlProps/ctrlProp37.xml"/><Relationship Id="rId11" Type="http://schemas.openxmlformats.org/officeDocument/2006/relationships/ctrlProp" Target="../ctrlProps/ctrlProp42.xml"/><Relationship Id="rId5" Type="http://schemas.openxmlformats.org/officeDocument/2006/relationships/ctrlProp" Target="../ctrlProps/ctrlProp36.xml"/><Relationship Id="rId15" Type="http://schemas.openxmlformats.org/officeDocument/2006/relationships/ctrlProp" Target="../ctrlProps/ctrlProp46.xml"/><Relationship Id="rId10" Type="http://schemas.openxmlformats.org/officeDocument/2006/relationships/ctrlProp" Target="../ctrlProps/ctrlProp41.xml"/><Relationship Id="rId4" Type="http://schemas.openxmlformats.org/officeDocument/2006/relationships/ctrlProp" Target="../ctrlProps/ctrlProp35.xml"/><Relationship Id="rId9" Type="http://schemas.openxmlformats.org/officeDocument/2006/relationships/ctrlProp" Target="../ctrlProps/ctrlProp40.xml"/><Relationship Id="rId14" Type="http://schemas.openxmlformats.org/officeDocument/2006/relationships/ctrlProp" Target="../ctrlProps/ctrlProp4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1.xml"/><Relationship Id="rId13" Type="http://schemas.openxmlformats.org/officeDocument/2006/relationships/ctrlProp" Target="../ctrlProps/ctrlProp56.xml"/><Relationship Id="rId3" Type="http://schemas.openxmlformats.org/officeDocument/2006/relationships/vmlDrawing" Target="../drawings/vmlDrawing6.vml"/><Relationship Id="rId7" Type="http://schemas.openxmlformats.org/officeDocument/2006/relationships/ctrlProp" Target="../ctrlProps/ctrlProp50.xml"/><Relationship Id="rId12" Type="http://schemas.openxmlformats.org/officeDocument/2006/relationships/ctrlProp" Target="../ctrlProps/ctrlProp55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Relationship Id="rId6" Type="http://schemas.openxmlformats.org/officeDocument/2006/relationships/ctrlProp" Target="../ctrlProps/ctrlProp49.xml"/><Relationship Id="rId11" Type="http://schemas.openxmlformats.org/officeDocument/2006/relationships/ctrlProp" Target="../ctrlProps/ctrlProp54.xml"/><Relationship Id="rId5" Type="http://schemas.openxmlformats.org/officeDocument/2006/relationships/ctrlProp" Target="../ctrlProps/ctrlProp48.xml"/><Relationship Id="rId15" Type="http://schemas.openxmlformats.org/officeDocument/2006/relationships/ctrlProp" Target="../ctrlProps/ctrlProp58.xml"/><Relationship Id="rId10" Type="http://schemas.openxmlformats.org/officeDocument/2006/relationships/ctrlProp" Target="../ctrlProps/ctrlProp53.xml"/><Relationship Id="rId4" Type="http://schemas.openxmlformats.org/officeDocument/2006/relationships/ctrlProp" Target="../ctrlProps/ctrlProp47.xml"/><Relationship Id="rId9" Type="http://schemas.openxmlformats.org/officeDocument/2006/relationships/ctrlProp" Target="../ctrlProps/ctrlProp52.xml"/><Relationship Id="rId14" Type="http://schemas.openxmlformats.org/officeDocument/2006/relationships/ctrlProp" Target="../ctrlProps/ctrlProp5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3.xml"/><Relationship Id="rId13" Type="http://schemas.openxmlformats.org/officeDocument/2006/relationships/ctrlProp" Target="../ctrlProps/ctrlProp68.xml"/><Relationship Id="rId3" Type="http://schemas.openxmlformats.org/officeDocument/2006/relationships/vmlDrawing" Target="../drawings/vmlDrawing7.vml"/><Relationship Id="rId7" Type="http://schemas.openxmlformats.org/officeDocument/2006/relationships/ctrlProp" Target="../ctrlProps/ctrlProp62.xml"/><Relationship Id="rId12" Type="http://schemas.openxmlformats.org/officeDocument/2006/relationships/ctrlProp" Target="../ctrlProps/ctrlProp67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3.bin"/><Relationship Id="rId6" Type="http://schemas.openxmlformats.org/officeDocument/2006/relationships/ctrlProp" Target="../ctrlProps/ctrlProp61.xml"/><Relationship Id="rId11" Type="http://schemas.openxmlformats.org/officeDocument/2006/relationships/ctrlProp" Target="../ctrlProps/ctrlProp66.xml"/><Relationship Id="rId5" Type="http://schemas.openxmlformats.org/officeDocument/2006/relationships/ctrlProp" Target="../ctrlProps/ctrlProp60.xml"/><Relationship Id="rId15" Type="http://schemas.openxmlformats.org/officeDocument/2006/relationships/ctrlProp" Target="../ctrlProps/ctrlProp70.xml"/><Relationship Id="rId10" Type="http://schemas.openxmlformats.org/officeDocument/2006/relationships/ctrlProp" Target="../ctrlProps/ctrlProp65.xml"/><Relationship Id="rId4" Type="http://schemas.openxmlformats.org/officeDocument/2006/relationships/ctrlProp" Target="../ctrlProps/ctrlProp59.xml"/><Relationship Id="rId9" Type="http://schemas.openxmlformats.org/officeDocument/2006/relationships/ctrlProp" Target="../ctrlProps/ctrlProp64.xml"/><Relationship Id="rId14" Type="http://schemas.openxmlformats.org/officeDocument/2006/relationships/ctrlProp" Target="../ctrlProps/ctrlProp6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63"/>
  <sheetViews>
    <sheetView zoomScale="70" zoomScaleNormal="70" workbookViewId="0">
      <selection activeCell="O24" sqref="O24"/>
    </sheetView>
  </sheetViews>
  <sheetFormatPr defaultColWidth="9.140625" defaultRowHeight="12.75" x14ac:dyDescent="0.2"/>
  <cols>
    <col min="1" max="1" width="18.140625" style="1" customWidth="1"/>
    <col min="2" max="2" width="13.85546875" style="1" customWidth="1"/>
    <col min="3" max="5" width="11.7109375" style="1" customWidth="1"/>
    <col min="6" max="7" width="13.7109375" style="1" customWidth="1"/>
    <col min="8" max="8" width="13.7109375" style="1" hidden="1" customWidth="1"/>
    <col min="9" max="9" width="16" style="1" customWidth="1"/>
    <col min="10" max="10" width="13.7109375" style="1" customWidth="1"/>
    <col min="11" max="11" width="16.28515625" style="1" customWidth="1"/>
    <col min="12" max="12" width="13.7109375" style="1" customWidth="1"/>
    <col min="13" max="13" width="6.42578125" style="1" customWidth="1"/>
    <col min="14" max="14" width="15.140625" style="1" customWidth="1"/>
    <col min="15" max="15" width="14.5703125" style="1" customWidth="1"/>
    <col min="16" max="16" width="4.42578125" style="1" customWidth="1"/>
    <col min="17" max="17" width="17.7109375" style="1" bestFit="1" customWidth="1"/>
    <col min="18" max="18" width="14" style="1" customWidth="1"/>
    <col min="19" max="16384" width="9.140625" style="1"/>
  </cols>
  <sheetData>
    <row r="1" spans="1:18" ht="20.25" x14ac:dyDescent="0.3">
      <c r="A1" s="742" t="s">
        <v>0</v>
      </c>
      <c r="B1" s="742"/>
      <c r="C1" s="742"/>
      <c r="D1" s="742"/>
      <c r="E1" s="742"/>
      <c r="F1" s="742"/>
      <c r="G1" s="742"/>
      <c r="H1" s="742"/>
      <c r="I1" s="742"/>
      <c r="J1" s="742"/>
      <c r="K1" s="742"/>
      <c r="L1" s="742"/>
    </row>
    <row r="2" spans="1:18" ht="20.25" x14ac:dyDescent="0.3">
      <c r="A2" s="742" t="s">
        <v>1</v>
      </c>
      <c r="B2" s="742"/>
      <c r="C2" s="742"/>
      <c r="D2" s="742"/>
      <c r="E2" s="742"/>
      <c r="F2" s="742"/>
      <c r="G2" s="742"/>
      <c r="H2" s="742"/>
      <c r="I2" s="742"/>
      <c r="J2" s="742"/>
      <c r="K2" s="742"/>
      <c r="L2" s="742"/>
    </row>
    <row r="3" spans="1:18" ht="16.5" thickBot="1" x14ac:dyDescent="0.3">
      <c r="K3" s="20" t="s">
        <v>2</v>
      </c>
      <c r="L3" s="354">
        <v>46055</v>
      </c>
      <c r="N3" s="9" t="s">
        <v>3</v>
      </c>
      <c r="O3" s="5"/>
      <c r="P3" s="5"/>
      <c r="Q3" s="9" t="s">
        <v>4</v>
      </c>
      <c r="R3" s="5"/>
    </row>
    <row r="4" spans="1:18" s="5" customFormat="1" ht="15.75" thickBot="1" x14ac:dyDescent="0.3">
      <c r="A4" s="360" t="s">
        <v>5</v>
      </c>
      <c r="B4" s="361" t="s">
        <v>6</v>
      </c>
      <c r="C4" s="94" t="s">
        <v>4</v>
      </c>
      <c r="D4" s="94" t="s">
        <v>7</v>
      </c>
      <c r="E4" s="94" t="s">
        <v>8</v>
      </c>
      <c r="F4" s="6" t="s">
        <v>9</v>
      </c>
      <c r="G4" s="356" t="s">
        <v>10</v>
      </c>
      <c r="H4" s="447" t="s">
        <v>11</v>
      </c>
      <c r="I4" s="94" t="s">
        <v>12</v>
      </c>
      <c r="J4" s="6" t="s">
        <v>13</v>
      </c>
      <c r="K4" s="7" t="s">
        <v>14</v>
      </c>
      <c r="L4" s="6" t="s">
        <v>15</v>
      </c>
      <c r="N4" s="52"/>
      <c r="O4" s="41"/>
      <c r="P4" s="3"/>
      <c r="Q4" s="52" t="str">
        <f>A4</f>
        <v>BISTRO</v>
      </c>
      <c r="R4" s="32">
        <f>C8</f>
        <v>0</v>
      </c>
    </row>
    <row r="5" spans="1:18" s="5" customFormat="1" ht="15" thickBot="1" x14ac:dyDescent="0.25">
      <c r="A5" s="362"/>
      <c r="B5" s="52"/>
      <c r="C5" s="359"/>
      <c r="D5" s="359"/>
      <c r="E5" s="359"/>
      <c r="F5" s="24">
        <f>B5-(D5+L5)</f>
        <v>0</v>
      </c>
      <c r="G5" s="357"/>
      <c r="H5" s="448"/>
      <c r="I5" s="463"/>
      <c r="J5" s="31"/>
      <c r="K5" s="32">
        <f>SUM(I5+J5+H5+G5)-F5</f>
        <v>0</v>
      </c>
      <c r="L5" s="33"/>
      <c r="N5" s="53"/>
      <c r="O5" s="49"/>
      <c r="P5" s="3"/>
      <c r="Q5" s="53" t="str">
        <f>A11</f>
        <v>SPORTS BAR</v>
      </c>
      <c r="R5" s="24">
        <f>C15</f>
        <v>0</v>
      </c>
    </row>
    <row r="6" spans="1:18" s="5" customFormat="1" ht="15" thickBot="1" x14ac:dyDescent="0.25">
      <c r="A6" s="55"/>
      <c r="B6" s="22"/>
      <c r="C6" s="23"/>
      <c r="D6" s="23"/>
      <c r="E6" s="472"/>
      <c r="F6" s="25">
        <f>B6-(D6+L6)</f>
        <v>0</v>
      </c>
      <c r="G6" s="358"/>
      <c r="H6" s="449"/>
      <c r="I6" s="464"/>
      <c r="J6" s="34"/>
      <c r="K6" s="32">
        <f>SUM(I6+J6+H6+G6)-F6</f>
        <v>0</v>
      </c>
      <c r="L6" s="33"/>
      <c r="N6" s="54"/>
      <c r="O6" s="44"/>
      <c r="P6" s="3"/>
      <c r="Q6" s="53" t="s">
        <v>16</v>
      </c>
      <c r="R6" s="24">
        <f>C22+C28</f>
        <v>0</v>
      </c>
    </row>
    <row r="7" spans="1:18" s="5" customFormat="1" ht="15.75" thickBot="1" x14ac:dyDescent="0.3">
      <c r="A7" s="56"/>
      <c r="B7" s="22"/>
      <c r="C7" s="28"/>
      <c r="D7" s="28"/>
      <c r="E7" s="28"/>
      <c r="F7" s="26">
        <f>B7-(D7+L7)</f>
        <v>0</v>
      </c>
      <c r="G7" s="358"/>
      <c r="H7" s="449"/>
      <c r="I7" s="464"/>
      <c r="J7" s="37"/>
      <c r="K7" s="32">
        <f>SUM(I7+J7+H7+G7)-F7</f>
        <v>0</v>
      </c>
      <c r="L7" s="38"/>
      <c r="N7" s="4" t="s">
        <v>17</v>
      </c>
      <c r="O7" s="50">
        <f>O4+O5+O6</f>
        <v>0</v>
      </c>
      <c r="Q7" s="54" t="s">
        <v>18</v>
      </c>
      <c r="R7" s="36">
        <f>+C36+C42</f>
        <v>0</v>
      </c>
    </row>
    <row r="8" spans="1:18" s="5" customFormat="1" ht="15.75" thickBot="1" x14ac:dyDescent="0.3">
      <c r="A8" s="4" t="s">
        <v>19</v>
      </c>
      <c r="B8" s="29">
        <f>SUM(B5:B7)</f>
        <v>0</v>
      </c>
      <c r="C8" s="30">
        <f t="shared" ref="C8" si="0">SUM(C5:C7)</f>
        <v>0</v>
      </c>
      <c r="D8" s="30">
        <f t="shared" ref="D8:L8" si="1">SUM(D5:D7)</f>
        <v>0</v>
      </c>
      <c r="E8" s="30">
        <f t="shared" si="1"/>
        <v>0</v>
      </c>
      <c r="F8" s="30">
        <f t="shared" si="1"/>
        <v>0</v>
      </c>
      <c r="G8" s="30">
        <f t="shared" si="1"/>
        <v>0</v>
      </c>
      <c r="H8" s="450">
        <f t="shared" si="1"/>
        <v>0</v>
      </c>
      <c r="I8" s="465">
        <f t="shared" si="1"/>
        <v>0</v>
      </c>
      <c r="J8" s="48">
        <f t="shared" si="1"/>
        <v>0</v>
      </c>
      <c r="K8" s="32">
        <f>SUM(I8+J8+H8+G8)-F8</f>
        <v>0</v>
      </c>
      <c r="L8" s="30">
        <f t="shared" si="1"/>
        <v>0</v>
      </c>
      <c r="Q8" s="480" t="s">
        <v>20</v>
      </c>
      <c r="R8" s="455">
        <f>C57</f>
        <v>0</v>
      </c>
    </row>
    <row r="9" spans="1:18" s="5" customFormat="1" ht="15.75" thickBot="1" x14ac:dyDescent="0.3">
      <c r="A9" s="9"/>
      <c r="B9" s="60"/>
      <c r="C9" s="61"/>
      <c r="D9" s="61"/>
      <c r="E9" s="61"/>
      <c r="G9" s="8" t="s">
        <v>21</v>
      </c>
      <c r="J9" s="40">
        <f>SUM(I8+J8+H8+G8)-C8-E8</f>
        <v>0</v>
      </c>
      <c r="K9" s="462"/>
      <c r="L9" s="460"/>
      <c r="Q9" s="4" t="s">
        <v>17</v>
      </c>
      <c r="R9" s="468">
        <f>SUM(R4:R8)</f>
        <v>0</v>
      </c>
    </row>
    <row r="10" spans="1:18" s="5" customFormat="1" ht="15.75" thickBot="1" x14ac:dyDescent="0.3">
      <c r="K10" s="461"/>
      <c r="L10" s="459"/>
      <c r="M10" s="61"/>
      <c r="N10" s="9" t="s">
        <v>22</v>
      </c>
    </row>
    <row r="11" spans="1:18" s="5" customFormat="1" ht="15.75" thickBot="1" x14ac:dyDescent="0.3">
      <c r="A11" s="4" t="s">
        <v>23</v>
      </c>
      <c r="B11" s="6" t="s">
        <v>6</v>
      </c>
      <c r="C11" s="94" t="s">
        <v>4</v>
      </c>
      <c r="D11" s="94" t="s">
        <v>7</v>
      </c>
      <c r="E11" s="94" t="s">
        <v>8</v>
      </c>
      <c r="F11" s="6" t="s">
        <v>9</v>
      </c>
      <c r="G11" s="6" t="s">
        <v>10</v>
      </c>
      <c r="H11" s="447" t="s">
        <v>11</v>
      </c>
      <c r="I11" s="94" t="s">
        <v>12</v>
      </c>
      <c r="J11" s="6" t="s">
        <v>13</v>
      </c>
      <c r="K11" s="7" t="s">
        <v>14</v>
      </c>
      <c r="L11" s="6" t="s">
        <v>15</v>
      </c>
      <c r="N11" s="4" t="s">
        <v>24</v>
      </c>
      <c r="O11" s="58"/>
      <c r="Q11" s="14" t="s">
        <v>25</v>
      </c>
      <c r="R11" s="15"/>
    </row>
    <row r="12" spans="1:18" s="5" customFormat="1" ht="14.25" x14ac:dyDescent="0.2">
      <c r="A12" s="54"/>
      <c r="B12" s="31"/>
      <c r="C12" s="41"/>
      <c r="D12" s="41"/>
      <c r="E12" s="43"/>
      <c r="F12" s="42">
        <f>B12-(D12+L12)</f>
        <v>0</v>
      </c>
      <c r="G12" s="43"/>
      <c r="H12" s="448"/>
      <c r="I12" s="463"/>
      <c r="J12" s="31"/>
      <c r="K12" s="32">
        <f>SUM(I12+J12+H12+G12)-F12</f>
        <v>0</v>
      </c>
      <c r="L12" s="43"/>
      <c r="N12" s="11" t="s">
        <v>26</v>
      </c>
      <c r="O12" s="57">
        <v>0</v>
      </c>
      <c r="Q12" s="16" t="s">
        <v>27</v>
      </c>
      <c r="R12" s="246"/>
    </row>
    <row r="13" spans="1:18" s="5" customFormat="1" ht="14.25" x14ac:dyDescent="0.2">
      <c r="A13" s="54"/>
      <c r="B13" s="35"/>
      <c r="C13" s="44"/>
      <c r="D13" s="44"/>
      <c r="E13" s="46"/>
      <c r="F13" s="45">
        <f>B13-(D13+L13)</f>
        <v>0</v>
      </c>
      <c r="G13" s="46"/>
      <c r="H13" s="449"/>
      <c r="I13" s="464"/>
      <c r="J13" s="35"/>
      <c r="K13" s="24">
        <f>SUM(I13+J13+H13+G13)-F13</f>
        <v>0</v>
      </c>
      <c r="L13" s="46"/>
      <c r="N13" s="2" t="s">
        <v>28</v>
      </c>
      <c r="O13" s="46"/>
      <c r="Q13" s="17" t="s">
        <v>29</v>
      </c>
      <c r="R13" s="247"/>
    </row>
    <row r="14" spans="1:18" s="5" customFormat="1" ht="15" thickBot="1" x14ac:dyDescent="0.25">
      <c r="A14" s="54"/>
      <c r="B14" s="35"/>
      <c r="C14" s="44"/>
      <c r="D14" s="44"/>
      <c r="E14" s="46"/>
      <c r="F14" s="45">
        <f>B14-(D14+L14)</f>
        <v>0</v>
      </c>
      <c r="G14" s="46"/>
      <c r="H14" s="449"/>
      <c r="I14" s="464"/>
      <c r="J14" s="35"/>
      <c r="K14" s="24">
        <f>SUM(I14+J14+H14+G14)-F14</f>
        <v>0</v>
      </c>
      <c r="L14" s="46"/>
      <c r="N14" s="13" t="s">
        <v>30</v>
      </c>
      <c r="O14" s="38"/>
      <c r="Q14" s="2" t="s">
        <v>31</v>
      </c>
      <c r="R14" s="36">
        <f>R12-R13</f>
        <v>0</v>
      </c>
    </row>
    <row r="15" spans="1:18" s="5" customFormat="1" ht="15.75" thickBot="1" x14ac:dyDescent="0.3">
      <c r="A15" s="4" t="s">
        <v>19</v>
      </c>
      <c r="B15" s="47">
        <f>SUM(B12:B14)</f>
        <v>0</v>
      </c>
      <c r="C15" s="30">
        <f t="shared" ref="C15" si="2">SUM(C12:C14)</f>
        <v>0</v>
      </c>
      <c r="D15" s="30">
        <f t="shared" ref="D15:L15" si="3">SUM(D12:D14)</f>
        <v>0</v>
      </c>
      <c r="E15" s="30">
        <f t="shared" si="3"/>
        <v>0</v>
      </c>
      <c r="F15" s="29">
        <f t="shared" si="3"/>
        <v>0</v>
      </c>
      <c r="G15" s="30">
        <f>SUM(G12:G14)</f>
        <v>0</v>
      </c>
      <c r="H15" s="450">
        <f t="shared" si="3"/>
        <v>0</v>
      </c>
      <c r="I15" s="465">
        <f t="shared" si="3"/>
        <v>0</v>
      </c>
      <c r="J15" s="30">
        <f>SUM(J12:J14)</f>
        <v>0</v>
      </c>
      <c r="K15" s="30">
        <f t="shared" si="3"/>
        <v>0</v>
      </c>
      <c r="L15" s="48">
        <f t="shared" si="3"/>
        <v>0</v>
      </c>
      <c r="N15" s="4" t="s">
        <v>17</v>
      </c>
      <c r="O15" s="39">
        <f>SUM(O12:O14)</f>
        <v>0</v>
      </c>
      <c r="Q15" s="17" t="s">
        <v>32</v>
      </c>
      <c r="R15" s="247"/>
    </row>
    <row r="16" spans="1:18" s="5" customFormat="1" ht="15.75" thickBot="1" x14ac:dyDescent="0.3">
      <c r="A16" s="9"/>
      <c r="B16" s="60"/>
      <c r="C16" s="61"/>
      <c r="D16" s="61"/>
      <c r="E16" s="61"/>
      <c r="G16" s="8" t="s">
        <v>33</v>
      </c>
      <c r="J16" s="40">
        <f>SUM(I15+J15+H15+G15)-C15-E15</f>
        <v>0</v>
      </c>
      <c r="K16" s="9"/>
      <c r="L16" s="3"/>
      <c r="N16" s="4" t="s">
        <v>34</v>
      </c>
      <c r="O16" s="59"/>
      <c r="Q16" s="17" t="s">
        <v>35</v>
      </c>
      <c r="R16" s="247"/>
    </row>
    <row r="17" spans="1:18" s="5" customFormat="1" ht="15" thickBot="1" x14ac:dyDescent="0.25">
      <c r="N17" s="11" t="s">
        <v>26</v>
      </c>
      <c r="O17" s="57"/>
      <c r="Q17" s="18" t="s">
        <v>36</v>
      </c>
      <c r="R17" s="248"/>
    </row>
    <row r="18" spans="1:18" s="5" customFormat="1" ht="15.75" thickBot="1" x14ac:dyDescent="0.3">
      <c r="A18" s="360" t="s">
        <v>37</v>
      </c>
      <c r="B18" s="6" t="s">
        <v>6</v>
      </c>
      <c r="C18" s="94" t="s">
        <v>4</v>
      </c>
      <c r="D18" s="94" t="s">
        <v>7</v>
      </c>
      <c r="E18" s="94" t="s">
        <v>8</v>
      </c>
      <c r="F18" s="6" t="s">
        <v>9</v>
      </c>
      <c r="G18" s="6" t="s">
        <v>10</v>
      </c>
      <c r="H18" s="447" t="s">
        <v>11</v>
      </c>
      <c r="I18" s="94" t="s">
        <v>12</v>
      </c>
      <c r="J18" s="6" t="s">
        <v>13</v>
      </c>
      <c r="K18" s="7" t="s">
        <v>14</v>
      </c>
      <c r="L18" s="6" t="s">
        <v>15</v>
      </c>
      <c r="M18" s="61"/>
      <c r="N18" s="2" t="s">
        <v>28</v>
      </c>
      <c r="O18" s="46"/>
      <c r="Q18" s="10" t="s">
        <v>38</v>
      </c>
      <c r="R18" s="27"/>
    </row>
    <row r="19" spans="1:18" s="5" customFormat="1" ht="15.75" thickBot="1" x14ac:dyDescent="0.3">
      <c r="A19" s="52"/>
      <c r="B19" s="31"/>
      <c r="C19" s="41"/>
      <c r="D19" s="41"/>
      <c r="E19" s="43"/>
      <c r="F19" s="42">
        <f>B19-(D19+L19)</f>
        <v>0</v>
      </c>
      <c r="G19" s="43"/>
      <c r="H19" s="448"/>
      <c r="I19" s="463"/>
      <c r="J19" s="31"/>
      <c r="K19" s="32">
        <f>SUM(I19+J19+H19+G19)-F19</f>
        <v>0</v>
      </c>
      <c r="L19" s="43"/>
      <c r="N19" s="13" t="s">
        <v>30</v>
      </c>
      <c r="O19" s="38"/>
      <c r="Q19" s="91" t="s">
        <v>39</v>
      </c>
      <c r="R19" s="249">
        <f>R12-R15-R17-R18</f>
        <v>0</v>
      </c>
    </row>
    <row r="20" spans="1:18" s="5" customFormat="1" ht="15.75" thickBot="1" x14ac:dyDescent="0.3">
      <c r="A20" s="54"/>
      <c r="B20" s="35"/>
      <c r="C20" s="44"/>
      <c r="D20" s="44"/>
      <c r="E20" s="46"/>
      <c r="F20" s="45">
        <f>B20-(D20+L20)</f>
        <v>0</v>
      </c>
      <c r="G20" s="46"/>
      <c r="H20" s="449"/>
      <c r="I20" s="464"/>
      <c r="J20" s="35"/>
      <c r="K20" s="24">
        <f>SUM(I20+J20+H20+G20)-F20</f>
        <v>0</v>
      </c>
      <c r="L20" s="46"/>
      <c r="N20" s="4" t="s">
        <v>17</v>
      </c>
      <c r="O20" s="39">
        <f>SUM(O17:O19)</f>
        <v>0</v>
      </c>
      <c r="Q20" s="19" t="s">
        <v>40</v>
      </c>
      <c r="R20" s="250"/>
    </row>
    <row r="21" spans="1:18" s="5" customFormat="1" ht="15" thickBot="1" x14ac:dyDescent="0.25">
      <c r="A21" s="332"/>
      <c r="B21" s="37"/>
      <c r="C21" s="27"/>
      <c r="D21" s="27"/>
      <c r="E21" s="334"/>
      <c r="F21" s="333">
        <f>B21-(D21+L21)</f>
        <v>0</v>
      </c>
      <c r="G21" s="334"/>
      <c r="H21" s="451"/>
      <c r="I21" s="466"/>
      <c r="J21" s="37"/>
      <c r="K21" s="335">
        <f>SUM(I21+J21+H21+G21)-F21</f>
        <v>0</v>
      </c>
      <c r="L21" s="334"/>
    </row>
    <row r="22" spans="1:18" s="5" customFormat="1" ht="15.75" thickBot="1" x14ac:dyDescent="0.3">
      <c r="A22" s="4" t="s">
        <v>19</v>
      </c>
      <c r="B22" s="47">
        <f>SUM(B19:B21)</f>
        <v>0</v>
      </c>
      <c r="C22" s="47">
        <f t="shared" ref="C22" si="4">SUM(C19:C21)</f>
        <v>0</v>
      </c>
      <c r="D22" s="47">
        <f t="shared" ref="D22:L22" si="5">SUM(D19:D21)</f>
        <v>0</v>
      </c>
      <c r="E22" s="47">
        <f t="shared" si="5"/>
        <v>0</v>
      </c>
      <c r="F22" s="47">
        <f t="shared" si="5"/>
        <v>0</v>
      </c>
      <c r="G22" s="47">
        <f t="shared" si="5"/>
        <v>0</v>
      </c>
      <c r="H22" s="452">
        <f t="shared" si="5"/>
        <v>0</v>
      </c>
      <c r="I22" s="467">
        <f t="shared" si="5"/>
        <v>0</v>
      </c>
      <c r="J22" s="47">
        <f t="shared" si="5"/>
        <v>0</v>
      </c>
      <c r="K22" s="47">
        <f t="shared" si="5"/>
        <v>0</v>
      </c>
      <c r="L22" s="30">
        <f t="shared" si="5"/>
        <v>0</v>
      </c>
      <c r="N22" s="9" t="s">
        <v>10</v>
      </c>
    </row>
    <row r="23" spans="1:18" s="5" customFormat="1" ht="15.75" thickBot="1" x14ac:dyDescent="0.3">
      <c r="A23" s="9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N23" s="62" t="str">
        <f>A11</f>
        <v>SPORTS BAR</v>
      </c>
      <c r="O23" s="63">
        <f>G15</f>
        <v>0</v>
      </c>
      <c r="Q23" s="9" t="s">
        <v>19</v>
      </c>
    </row>
    <row r="24" spans="1:18" s="5" customFormat="1" ht="15.75" thickBot="1" x14ac:dyDescent="0.3">
      <c r="A24" s="4" t="s">
        <v>41</v>
      </c>
      <c r="B24" s="6" t="s">
        <v>6</v>
      </c>
      <c r="C24" s="94" t="s">
        <v>4</v>
      </c>
      <c r="D24" s="94" t="s">
        <v>7</v>
      </c>
      <c r="E24" s="94" t="s">
        <v>8</v>
      </c>
      <c r="F24" s="6" t="s">
        <v>9</v>
      </c>
      <c r="G24" s="6" t="s">
        <v>10</v>
      </c>
      <c r="H24" s="447" t="s">
        <v>11</v>
      </c>
      <c r="I24" s="94" t="s">
        <v>12</v>
      </c>
      <c r="J24" s="6" t="s">
        <v>13</v>
      </c>
      <c r="K24" s="7" t="s">
        <v>14</v>
      </c>
      <c r="L24" s="6" t="s">
        <v>15</v>
      </c>
      <c r="N24" s="12" t="str">
        <f>A4</f>
        <v>BISTRO</v>
      </c>
      <c r="O24" s="51">
        <f>G8</f>
        <v>0</v>
      </c>
      <c r="Q24" s="458" t="s">
        <v>42</v>
      </c>
      <c r="R24" s="456">
        <f>SUM(J29,J51,O7,J43,J16,J9,R19,J58,R9)</f>
        <v>0</v>
      </c>
    </row>
    <row r="25" spans="1:18" s="5" customFormat="1" ht="14.25" x14ac:dyDescent="0.2">
      <c r="A25" s="54"/>
      <c r="B25" s="35"/>
      <c r="C25" s="44"/>
      <c r="D25" s="44"/>
      <c r="E25" s="46"/>
      <c r="F25" s="45">
        <f>B25-(D25+L25)</f>
        <v>0</v>
      </c>
      <c r="G25" s="46"/>
      <c r="H25" s="449"/>
      <c r="I25" s="464"/>
      <c r="J25" s="35"/>
      <c r="K25" s="24">
        <f>SUM(I25+J25+H25+G25)-F25</f>
        <v>0</v>
      </c>
      <c r="L25" s="46"/>
      <c r="N25" s="508" t="s">
        <v>43</v>
      </c>
      <c r="O25" s="509">
        <f>G50</f>
        <v>0</v>
      </c>
      <c r="Q25" s="2" t="s">
        <v>44</v>
      </c>
      <c r="R25" s="45">
        <f>ROUND(+R24/11,2)</f>
        <v>0</v>
      </c>
    </row>
    <row r="26" spans="1:18" s="5" customFormat="1" ht="14.25" x14ac:dyDescent="0.2">
      <c r="A26" s="54"/>
      <c r="B26" s="35"/>
      <c r="C26" s="44"/>
      <c r="D26" s="44"/>
      <c r="E26" s="46"/>
      <c r="F26" s="45">
        <f>B26-(D26+L26)</f>
        <v>0</v>
      </c>
      <c r="G26" s="46"/>
      <c r="H26" s="449"/>
      <c r="I26" s="464"/>
      <c r="J26" s="35"/>
      <c r="K26" s="24">
        <f>SUM(I26+J26+H26+G26)-F26</f>
        <v>0</v>
      </c>
      <c r="L26" s="46"/>
      <c r="M26" s="61"/>
      <c r="N26" s="12" t="s">
        <v>37</v>
      </c>
      <c r="O26" s="51">
        <f>G22</f>
        <v>0</v>
      </c>
      <c r="Q26" s="2" t="s">
        <v>45</v>
      </c>
      <c r="R26" s="46">
        <f>R39</f>
        <v>0</v>
      </c>
    </row>
    <row r="27" spans="1:18" s="5" customFormat="1" ht="15" thickBot="1" x14ac:dyDescent="0.25">
      <c r="A27" s="54"/>
      <c r="B27" s="35"/>
      <c r="C27" s="44"/>
      <c r="D27" s="44"/>
      <c r="E27" s="46"/>
      <c r="F27" s="45">
        <f>B27-(D27+L27)</f>
        <v>0</v>
      </c>
      <c r="G27" s="46"/>
      <c r="H27" s="449"/>
      <c r="I27" s="464"/>
      <c r="J27" s="35"/>
      <c r="K27" s="24">
        <f>SUM(I27+J27+H27+G27)-F27</f>
        <v>0</v>
      </c>
      <c r="L27" s="46"/>
      <c r="N27" s="12" t="s">
        <v>46</v>
      </c>
      <c r="O27" s="51">
        <f>G28</f>
        <v>0</v>
      </c>
      <c r="Q27" s="13" t="s">
        <v>12</v>
      </c>
      <c r="R27" s="46">
        <f>I57+I42+I36+I28+I22+I15+I8</f>
        <v>0</v>
      </c>
    </row>
    <row r="28" spans="1:18" s="5" customFormat="1" ht="15.75" thickBot="1" x14ac:dyDescent="0.3">
      <c r="A28" s="4" t="s">
        <v>19</v>
      </c>
      <c r="B28" s="47">
        <f>SUM(B25:B27)</f>
        <v>0</v>
      </c>
      <c r="C28" s="47">
        <f t="shared" ref="C28" si="6">SUM(C25:C27)</f>
        <v>0</v>
      </c>
      <c r="D28" s="47">
        <f t="shared" ref="D28:L28" si="7">SUM(D25:D27)</f>
        <v>0</v>
      </c>
      <c r="E28" s="47">
        <f t="shared" si="7"/>
        <v>0</v>
      </c>
      <c r="F28" s="47">
        <f t="shared" si="7"/>
        <v>0</v>
      </c>
      <c r="G28" s="47">
        <f t="shared" si="7"/>
        <v>0</v>
      </c>
      <c r="H28" s="452">
        <f t="shared" si="7"/>
        <v>0</v>
      </c>
      <c r="I28" s="467">
        <f t="shared" si="7"/>
        <v>0</v>
      </c>
      <c r="J28" s="47">
        <f t="shared" si="7"/>
        <v>0</v>
      </c>
      <c r="K28" s="47">
        <f t="shared" si="7"/>
        <v>0</v>
      </c>
      <c r="L28" s="30">
        <f t="shared" si="7"/>
        <v>0</v>
      </c>
      <c r="N28" s="12" t="s">
        <v>47</v>
      </c>
      <c r="O28" s="51">
        <f>G36</f>
        <v>0</v>
      </c>
      <c r="Q28" s="10" t="s">
        <v>10</v>
      </c>
      <c r="R28" s="45">
        <f>O31</f>
        <v>0</v>
      </c>
    </row>
    <row r="29" spans="1:18" s="5" customFormat="1" ht="15.75" thickBot="1" x14ac:dyDescent="0.3">
      <c r="A29" s="9"/>
      <c r="B29" s="60"/>
      <c r="C29" s="61"/>
      <c r="D29" s="61"/>
      <c r="E29" s="61"/>
      <c r="G29" s="8" t="s">
        <v>48</v>
      </c>
      <c r="J29" s="40">
        <f>SUM(G22+H22+I22+J22)+(I28+J28+H28+G28)-C28-E28-C22-E22</f>
        <v>0</v>
      </c>
      <c r="K29" s="9"/>
      <c r="L29" s="3"/>
      <c r="N29" s="12" t="s">
        <v>49</v>
      </c>
      <c r="O29" s="51">
        <f>G42</f>
        <v>0</v>
      </c>
      <c r="Q29" s="457" t="s">
        <v>50</v>
      </c>
      <c r="R29" s="440">
        <f>R24-(R28+R26+R27)</f>
        <v>0</v>
      </c>
    </row>
    <row r="30" spans="1:18" s="5" customFormat="1" ht="15.75" thickBot="1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N30" s="510" t="s">
        <v>5</v>
      </c>
      <c r="O30" s="511">
        <f>G57</f>
        <v>0</v>
      </c>
    </row>
    <row r="31" spans="1:18" s="5" customFormat="1" ht="15.75" thickBot="1" x14ac:dyDescent="0.3">
      <c r="A31" s="9" t="s">
        <v>51</v>
      </c>
      <c r="N31" s="363" t="s">
        <v>17</v>
      </c>
      <c r="O31" s="30">
        <f>SUM(O23:O30)</f>
        <v>0</v>
      </c>
      <c r="Q31" s="4" t="s">
        <v>52</v>
      </c>
      <c r="R31" s="48">
        <f>J8+J15+J22+J28+J36+J42+J50+J57</f>
        <v>0</v>
      </c>
    </row>
    <row r="32" spans="1:18" s="5" customFormat="1" ht="15.75" thickBot="1" x14ac:dyDescent="0.3">
      <c r="A32" s="4" t="s">
        <v>47</v>
      </c>
      <c r="B32" s="6" t="s">
        <v>6</v>
      </c>
      <c r="C32" s="94" t="s">
        <v>4</v>
      </c>
      <c r="D32" s="94" t="s">
        <v>7</v>
      </c>
      <c r="E32" s="94" t="s">
        <v>8</v>
      </c>
      <c r="F32" s="6" t="s">
        <v>9</v>
      </c>
      <c r="G32" s="6" t="s">
        <v>10</v>
      </c>
      <c r="H32" s="447" t="s">
        <v>11</v>
      </c>
      <c r="I32" s="94" t="s">
        <v>12</v>
      </c>
      <c r="J32" s="6" t="s">
        <v>13</v>
      </c>
      <c r="K32" s="336" t="s">
        <v>14</v>
      </c>
      <c r="L32" s="6" t="s">
        <v>15</v>
      </c>
      <c r="P32" s="1"/>
    </row>
    <row r="33" spans="1:18" s="5" customFormat="1" ht="15.75" thickBot="1" x14ac:dyDescent="0.3">
      <c r="A33" s="54"/>
      <c r="B33" s="35"/>
      <c r="C33" s="44"/>
      <c r="D33" s="44"/>
      <c r="E33" s="46"/>
      <c r="F33" s="45">
        <f>B33-(D33+L33)</f>
        <v>0</v>
      </c>
      <c r="G33" s="46"/>
      <c r="H33" s="449"/>
      <c r="I33" s="464"/>
      <c r="J33" s="35"/>
      <c r="K33" s="32">
        <f>SUM(I33+J33+H33+G33)-F33</f>
        <v>0</v>
      </c>
      <c r="L33" s="46"/>
      <c r="Q33" s="4" t="s">
        <v>53</v>
      </c>
      <c r="R33" s="420"/>
    </row>
    <row r="34" spans="1:18" s="5" customFormat="1" ht="14.25" x14ac:dyDescent="0.2">
      <c r="A34" s="54"/>
      <c r="B34" s="35"/>
      <c r="C34" s="44"/>
      <c r="D34" s="44"/>
      <c r="E34" s="46"/>
      <c r="F34" s="45">
        <f>B34-(D34+L34)</f>
        <v>0</v>
      </c>
      <c r="G34" s="46"/>
      <c r="H34" s="449"/>
      <c r="I34" s="464"/>
      <c r="J34" s="35"/>
      <c r="K34" s="36">
        <f>SUM(I34+J34+H34+G34)-F34</f>
        <v>0</v>
      </c>
      <c r="L34" s="46"/>
    </row>
    <row r="35" spans="1:18" s="5" customFormat="1" ht="15" thickBot="1" x14ac:dyDescent="0.25">
      <c r="A35" s="54"/>
      <c r="B35" s="35"/>
      <c r="C35" s="44"/>
      <c r="D35" s="44"/>
      <c r="E35" s="46"/>
      <c r="F35" s="45">
        <f>B35-(D35+L35)</f>
        <v>0</v>
      </c>
      <c r="G35" s="46"/>
      <c r="H35" s="449"/>
      <c r="I35" s="464"/>
      <c r="J35" s="35"/>
      <c r="K35" s="338">
        <f>SUM(I35+J35+H35+G35)-F35</f>
        <v>0</v>
      </c>
      <c r="L35" s="46"/>
      <c r="M35" s="61"/>
    </row>
    <row r="36" spans="1:18" s="5" customFormat="1" ht="15.75" thickBot="1" x14ac:dyDescent="0.3">
      <c r="A36" s="4" t="s">
        <v>19</v>
      </c>
      <c r="B36" s="47">
        <f>SUM(B33:B35)</f>
        <v>0</v>
      </c>
      <c r="C36" s="47">
        <f t="shared" ref="C36" si="8">SUM(C33:C35)</f>
        <v>0</v>
      </c>
      <c r="D36" s="47">
        <f t="shared" ref="D36:L36" si="9">SUM(D33:D35)</f>
        <v>0</v>
      </c>
      <c r="E36" s="47">
        <f t="shared" si="9"/>
        <v>0</v>
      </c>
      <c r="F36" s="47">
        <f t="shared" si="9"/>
        <v>0</v>
      </c>
      <c r="G36" s="47">
        <f t="shared" si="9"/>
        <v>0</v>
      </c>
      <c r="H36" s="452">
        <f t="shared" si="9"/>
        <v>0</v>
      </c>
      <c r="I36" s="467">
        <f t="shared" si="9"/>
        <v>0</v>
      </c>
      <c r="J36" s="47">
        <f t="shared" si="9"/>
        <v>0</v>
      </c>
      <c r="K36" s="337">
        <f t="shared" si="9"/>
        <v>0</v>
      </c>
      <c r="L36" s="30">
        <f t="shared" si="9"/>
        <v>0</v>
      </c>
      <c r="Q36" s="743" t="s">
        <v>54</v>
      </c>
      <c r="R36" s="744"/>
    </row>
    <row r="37" spans="1:18" s="5" customFormat="1" ht="15" thickBot="1" x14ac:dyDescent="0.25">
      <c r="A37" s="3"/>
      <c r="B37" s="331"/>
      <c r="C37" s="331"/>
      <c r="D37" s="331"/>
      <c r="E37" s="331"/>
      <c r="F37" s="61"/>
      <c r="G37" s="331"/>
      <c r="H37" s="331"/>
      <c r="I37" s="331"/>
      <c r="J37" s="331"/>
      <c r="K37" s="61"/>
      <c r="L37" s="331"/>
      <c r="Q37" s="512" t="s">
        <v>55</v>
      </c>
      <c r="R37" s="506"/>
    </row>
    <row r="38" spans="1:18" s="5" customFormat="1" ht="15.75" thickBot="1" x14ac:dyDescent="0.3">
      <c r="A38" s="4" t="s">
        <v>49</v>
      </c>
      <c r="B38" s="6" t="s">
        <v>6</v>
      </c>
      <c r="C38" s="94" t="s">
        <v>4</v>
      </c>
      <c r="D38" s="94" t="s">
        <v>7</v>
      </c>
      <c r="E38" s="94" t="s">
        <v>8</v>
      </c>
      <c r="F38" s="6" t="s">
        <v>9</v>
      </c>
      <c r="G38" s="6" t="s">
        <v>10</v>
      </c>
      <c r="H38" s="447" t="s">
        <v>11</v>
      </c>
      <c r="I38" s="94" t="s">
        <v>12</v>
      </c>
      <c r="J38" s="6" t="s">
        <v>13</v>
      </c>
      <c r="K38" s="7" t="s">
        <v>14</v>
      </c>
      <c r="L38" s="6" t="s">
        <v>15</v>
      </c>
      <c r="Q38" s="513" t="s">
        <v>56</v>
      </c>
      <c r="R38" s="507"/>
    </row>
    <row r="39" spans="1:18" s="5" customFormat="1" ht="15.75" thickBot="1" x14ac:dyDescent="0.3">
      <c r="A39" s="54"/>
      <c r="B39" s="35"/>
      <c r="C39" s="44"/>
      <c r="D39" s="44"/>
      <c r="E39" s="46"/>
      <c r="F39" s="45">
        <f>B39-(D39+L39)</f>
        <v>0</v>
      </c>
      <c r="G39" s="46"/>
      <c r="H39" s="449"/>
      <c r="I39" s="464"/>
      <c r="J39" s="35"/>
      <c r="K39" s="24">
        <f>SUM(I39+J39+H39+G39)-F39</f>
        <v>0</v>
      </c>
      <c r="L39" s="46"/>
      <c r="Q39" s="6" t="s">
        <v>17</v>
      </c>
      <c r="R39" s="505">
        <f>SUM(R37:R38)</f>
        <v>0</v>
      </c>
    </row>
    <row r="40" spans="1:18" s="5" customFormat="1" ht="14.25" x14ac:dyDescent="0.2">
      <c r="A40" s="54"/>
      <c r="B40" s="35"/>
      <c r="C40" s="44"/>
      <c r="D40" s="44"/>
      <c r="E40" s="46"/>
      <c r="F40" s="45">
        <f>B40-(D40+L40)</f>
        <v>0</v>
      </c>
      <c r="G40" s="46"/>
      <c r="H40" s="449"/>
      <c r="I40" s="464"/>
      <c r="J40" s="35"/>
      <c r="K40" s="24">
        <f>SUM(I40+J40+H40+G40)-F40</f>
        <v>0</v>
      </c>
      <c r="L40" s="46"/>
    </row>
    <row r="41" spans="1:18" s="5" customFormat="1" ht="15" thickBot="1" x14ac:dyDescent="0.25">
      <c r="A41" s="54"/>
      <c r="B41" s="35"/>
      <c r="C41" s="44"/>
      <c r="D41" s="44"/>
      <c r="E41" s="46"/>
      <c r="F41" s="45">
        <f>B41-(D41+L41)</f>
        <v>0</v>
      </c>
      <c r="G41" s="46"/>
      <c r="H41" s="449"/>
      <c r="I41" s="464"/>
      <c r="J41" s="35"/>
      <c r="K41" s="24">
        <f>SUM(I41+J41+H41+G41)-F41</f>
        <v>0</v>
      </c>
      <c r="L41" s="46"/>
    </row>
    <row r="42" spans="1:18" s="5" customFormat="1" ht="15.75" thickBot="1" x14ac:dyDescent="0.3">
      <c r="A42" s="4" t="s">
        <v>19</v>
      </c>
      <c r="B42" s="47">
        <f>SUM(B39:B41)</f>
        <v>0</v>
      </c>
      <c r="C42" s="47">
        <f t="shared" ref="C42" si="10">SUM(C39:C41)</f>
        <v>0</v>
      </c>
      <c r="D42" s="47">
        <f t="shared" ref="D42:L42" si="11">SUM(D39:D41)</f>
        <v>0</v>
      </c>
      <c r="E42" s="47">
        <f t="shared" si="11"/>
        <v>0</v>
      </c>
      <c r="F42" s="47">
        <f t="shared" si="11"/>
        <v>0</v>
      </c>
      <c r="G42" s="47">
        <f t="shared" si="11"/>
        <v>0</v>
      </c>
      <c r="H42" s="452">
        <f t="shared" si="11"/>
        <v>0</v>
      </c>
      <c r="I42" s="467">
        <f t="shared" si="11"/>
        <v>0</v>
      </c>
      <c r="J42" s="47">
        <f t="shared" si="11"/>
        <v>0</v>
      </c>
      <c r="K42" s="47">
        <f t="shared" si="11"/>
        <v>0</v>
      </c>
      <c r="L42" s="30">
        <f t="shared" si="11"/>
        <v>0</v>
      </c>
    </row>
    <row r="43" spans="1:18" s="5" customFormat="1" ht="15.75" thickBot="1" x14ac:dyDescent="0.3">
      <c r="A43" s="9"/>
      <c r="B43" s="60"/>
      <c r="C43" s="61"/>
      <c r="D43" s="61"/>
      <c r="E43" s="61"/>
      <c r="G43" s="8" t="s">
        <v>57</v>
      </c>
      <c r="J43" s="40">
        <f>SUM(G36+H36+I36+J36)+(I42+J42+H42+G42)-C36-C42-E36-E42</f>
        <v>0</v>
      </c>
      <c r="K43" s="9"/>
      <c r="L43" s="3"/>
      <c r="M43" s="61"/>
    </row>
    <row r="44" spans="1:18" s="5" customFormat="1" ht="14.25" x14ac:dyDescent="0.2"/>
    <row r="45" spans="1:18" s="5" customFormat="1" ht="15.75" hidden="1" thickBot="1" x14ac:dyDescent="0.3">
      <c r="A45" s="478" t="s">
        <v>58</v>
      </c>
      <c r="B45" s="447" t="s">
        <v>6</v>
      </c>
      <c r="C45" s="454" t="s">
        <v>7</v>
      </c>
      <c r="D45" s="473" t="s">
        <v>7</v>
      </c>
      <c r="E45" s="473" t="s">
        <v>8</v>
      </c>
      <c r="F45" s="447" t="s">
        <v>9</v>
      </c>
      <c r="G45" s="447" t="s">
        <v>10</v>
      </c>
      <c r="H45" s="447" t="s">
        <v>11</v>
      </c>
      <c r="I45" s="473" t="s">
        <v>12</v>
      </c>
      <c r="J45" s="447" t="s">
        <v>13</v>
      </c>
      <c r="K45" s="479" t="s">
        <v>14</v>
      </c>
      <c r="L45" s="447" t="s">
        <v>15</v>
      </c>
      <c r="M45" s="489"/>
    </row>
    <row r="46" spans="1:18" s="5" customFormat="1" ht="14.25" hidden="1" x14ac:dyDescent="0.2">
      <c r="A46" s="480"/>
      <c r="B46" s="481"/>
      <c r="C46" s="455"/>
      <c r="D46" s="482"/>
      <c r="E46" s="483"/>
      <c r="F46" s="449">
        <f>B46-(D46+L46)</f>
        <v>0</v>
      </c>
      <c r="G46" s="483"/>
      <c r="H46" s="449"/>
      <c r="I46" s="474"/>
      <c r="J46" s="481"/>
      <c r="K46" s="484">
        <f>SUM(I46+J46+H46+G46)-F46</f>
        <v>0</v>
      </c>
      <c r="L46" s="483"/>
      <c r="M46" s="489"/>
    </row>
    <row r="47" spans="1:18" s="5" customFormat="1" ht="14.25" hidden="1" x14ac:dyDescent="0.2">
      <c r="A47" s="480"/>
      <c r="B47" s="481"/>
      <c r="C47" s="455"/>
      <c r="D47" s="482"/>
      <c r="E47" s="483"/>
      <c r="F47" s="449">
        <f>B47-(D47+L47)</f>
        <v>0</v>
      </c>
      <c r="G47" s="483"/>
      <c r="H47" s="449"/>
      <c r="I47" s="474"/>
      <c r="J47" s="481"/>
      <c r="K47" s="485">
        <f>SUM(I47+J47+H47+G47)-F47</f>
        <v>0</v>
      </c>
      <c r="L47" s="483"/>
      <c r="M47" s="489"/>
    </row>
    <row r="48" spans="1:18" s="5" customFormat="1" ht="14.25" hidden="1" x14ac:dyDescent="0.2">
      <c r="A48" s="480"/>
      <c r="B48" s="481"/>
      <c r="C48" s="455"/>
      <c r="D48" s="482"/>
      <c r="E48" s="483"/>
      <c r="F48" s="449">
        <f>B48-(D48+L48)</f>
        <v>0</v>
      </c>
      <c r="G48" s="483"/>
      <c r="H48" s="449"/>
      <c r="I48" s="474"/>
      <c r="J48" s="481"/>
      <c r="K48" s="485">
        <f>SUM(I48+J48+H48+G48)-F48</f>
        <v>0</v>
      </c>
      <c r="L48" s="483"/>
      <c r="M48" s="489"/>
    </row>
    <row r="49" spans="1:13" s="5" customFormat="1" ht="15" hidden="1" thickBot="1" x14ac:dyDescent="0.25">
      <c r="A49" s="480"/>
      <c r="B49" s="481"/>
      <c r="C49" s="455"/>
      <c r="D49" s="482"/>
      <c r="E49" s="483"/>
      <c r="F49" s="449">
        <f>B49-(D49+L49)</f>
        <v>0</v>
      </c>
      <c r="G49" s="483"/>
      <c r="H49" s="449"/>
      <c r="I49" s="474"/>
      <c r="J49" s="481"/>
      <c r="K49" s="485">
        <f>SUM(I49+J49+H49+G49)-F49</f>
        <v>0</v>
      </c>
      <c r="L49" s="483"/>
      <c r="M49" s="489"/>
    </row>
    <row r="50" spans="1:13" s="5" customFormat="1" ht="15.75" hidden="1" thickBot="1" x14ac:dyDescent="0.3">
      <c r="A50" s="478" t="s">
        <v>19</v>
      </c>
      <c r="B50" s="452">
        <f t="shared" ref="B50:L50" si="12">SUM(B46:B49)</f>
        <v>0</v>
      </c>
      <c r="C50" s="450">
        <f t="shared" ref="C50" si="13">SUM(C46:C49)</f>
        <v>0</v>
      </c>
      <c r="D50" s="450">
        <f t="shared" si="12"/>
        <v>0</v>
      </c>
      <c r="E50" s="450">
        <f t="shared" si="12"/>
        <v>0</v>
      </c>
      <c r="F50" s="453">
        <f t="shared" si="12"/>
        <v>0</v>
      </c>
      <c r="G50" s="450">
        <f t="shared" si="12"/>
        <v>0</v>
      </c>
      <c r="H50" s="453">
        <f t="shared" si="12"/>
        <v>0</v>
      </c>
      <c r="I50" s="450">
        <f>SUM(I46:I49)</f>
        <v>0</v>
      </c>
      <c r="J50" s="450">
        <f t="shared" si="12"/>
        <v>0</v>
      </c>
      <c r="K50" s="450">
        <f t="shared" si="12"/>
        <v>0</v>
      </c>
      <c r="L50" s="59">
        <f t="shared" si="12"/>
        <v>0</v>
      </c>
      <c r="M50" s="489"/>
    </row>
    <row r="51" spans="1:13" s="5" customFormat="1" ht="15.75" hidden="1" thickBot="1" x14ac:dyDescent="0.3">
      <c r="A51" s="486"/>
      <c r="B51" s="487"/>
      <c r="C51" s="488"/>
      <c r="D51" s="488"/>
      <c r="E51" s="488"/>
      <c r="F51" s="489"/>
      <c r="G51" s="490" t="s">
        <v>59</v>
      </c>
      <c r="H51" s="489"/>
      <c r="I51" s="489"/>
      <c r="J51" s="491">
        <f>SUM(I50+J50+H50+G50)-E50</f>
        <v>0</v>
      </c>
      <c r="K51" s="486"/>
      <c r="L51" s="492"/>
      <c r="M51" s="489"/>
    </row>
    <row r="52" spans="1:13" s="5" customFormat="1" ht="15" hidden="1" thickBot="1" x14ac:dyDescent="0.25">
      <c r="A52" s="489"/>
      <c r="B52" s="489"/>
      <c r="C52" s="489"/>
      <c r="D52" s="489"/>
      <c r="E52" s="489"/>
      <c r="F52" s="489"/>
      <c r="G52" s="489"/>
      <c r="H52" s="489"/>
      <c r="I52" s="489"/>
      <c r="J52" s="489"/>
      <c r="K52" s="489"/>
      <c r="L52" s="489"/>
      <c r="M52" s="489"/>
    </row>
    <row r="53" spans="1:13" s="5" customFormat="1" ht="15.75" hidden="1" thickBot="1" x14ac:dyDescent="0.3">
      <c r="A53" s="478" t="s">
        <v>20</v>
      </c>
      <c r="B53" s="447" t="s">
        <v>6</v>
      </c>
      <c r="C53" s="473" t="s">
        <v>4</v>
      </c>
      <c r="D53" s="473" t="s">
        <v>7</v>
      </c>
      <c r="E53" s="473" t="s">
        <v>8</v>
      </c>
      <c r="F53" s="447" t="s">
        <v>9</v>
      </c>
      <c r="G53" s="447" t="s">
        <v>10</v>
      </c>
      <c r="H53" s="447" t="s">
        <v>11</v>
      </c>
      <c r="I53" s="473" t="s">
        <v>12</v>
      </c>
      <c r="J53" s="447" t="s">
        <v>13</v>
      </c>
      <c r="K53" s="479" t="s">
        <v>14</v>
      </c>
      <c r="L53" s="447" t="s">
        <v>15</v>
      </c>
      <c r="M53" s="489"/>
    </row>
    <row r="54" spans="1:13" s="5" customFormat="1" ht="14.25" hidden="1" x14ac:dyDescent="0.2">
      <c r="A54" s="480"/>
      <c r="B54" s="481"/>
      <c r="C54" s="482"/>
      <c r="D54" s="482"/>
      <c r="E54" s="483"/>
      <c r="F54" s="449">
        <f>B54-(D54+L54)</f>
        <v>0</v>
      </c>
      <c r="G54" s="483"/>
      <c r="H54" s="449"/>
      <c r="I54" s="474"/>
      <c r="J54" s="481"/>
      <c r="K54" s="485">
        <f>SUM(I54+J54+H54+G54)-F54</f>
        <v>0</v>
      </c>
      <c r="L54" s="483"/>
      <c r="M54" s="489"/>
    </row>
    <row r="55" spans="1:13" s="5" customFormat="1" ht="14.25" hidden="1" x14ac:dyDescent="0.2">
      <c r="A55" s="480"/>
      <c r="B55" s="481"/>
      <c r="C55" s="482"/>
      <c r="D55" s="482"/>
      <c r="E55" s="483"/>
      <c r="F55" s="449">
        <f>B55-(D55+L55)</f>
        <v>0</v>
      </c>
      <c r="G55" s="483"/>
      <c r="H55" s="449"/>
      <c r="I55" s="474"/>
      <c r="J55" s="481"/>
      <c r="K55" s="485">
        <f>SUM(I55+J55+H55+G55)-F55</f>
        <v>0</v>
      </c>
      <c r="L55" s="483"/>
      <c r="M55" s="489"/>
    </row>
    <row r="56" spans="1:13" ht="15" hidden="1" thickBot="1" x14ac:dyDescent="0.25">
      <c r="A56" s="480"/>
      <c r="B56" s="481"/>
      <c r="C56" s="482"/>
      <c r="D56" s="482"/>
      <c r="E56" s="483"/>
      <c r="F56" s="449">
        <f>B56-(D56+L56)</f>
        <v>0</v>
      </c>
      <c r="G56" s="483"/>
      <c r="H56" s="449"/>
      <c r="I56" s="474"/>
      <c r="J56" s="481"/>
      <c r="K56" s="485">
        <f>SUM(I56+J56+H56+G56)-F56</f>
        <v>0</v>
      </c>
      <c r="L56" s="483"/>
      <c r="M56" s="493"/>
    </row>
    <row r="57" spans="1:13" ht="15.75" hidden="1" thickBot="1" x14ac:dyDescent="0.3">
      <c r="A57" s="478" t="s">
        <v>19</v>
      </c>
      <c r="B57" s="452">
        <f>SUM(B54:B56)</f>
        <v>0</v>
      </c>
      <c r="C57" s="452">
        <f t="shared" ref="C57:L57" si="14">SUM(C54:C56)</f>
        <v>0</v>
      </c>
      <c r="D57" s="452">
        <f t="shared" si="14"/>
        <v>0</v>
      </c>
      <c r="E57" s="452">
        <f>SUM(E54:E56)</f>
        <v>0</v>
      </c>
      <c r="F57" s="452">
        <f t="shared" si="14"/>
        <v>0</v>
      </c>
      <c r="G57" s="452">
        <f t="shared" si="14"/>
        <v>0</v>
      </c>
      <c r="H57" s="452">
        <f t="shared" si="14"/>
        <v>0</v>
      </c>
      <c r="I57" s="452">
        <f t="shared" si="14"/>
        <v>0</v>
      </c>
      <c r="J57" s="452">
        <f t="shared" si="14"/>
        <v>0</v>
      </c>
      <c r="K57" s="452">
        <f t="shared" si="14"/>
        <v>0</v>
      </c>
      <c r="L57" s="450">
        <f t="shared" si="14"/>
        <v>0</v>
      </c>
      <c r="M57" s="493"/>
    </row>
    <row r="58" spans="1:13" ht="15.75" hidden="1" thickBot="1" x14ac:dyDescent="0.3">
      <c r="A58" s="486"/>
      <c r="B58" s="487"/>
      <c r="C58" s="488"/>
      <c r="D58" s="488"/>
      <c r="E58" s="488"/>
      <c r="F58" s="489"/>
      <c r="G58" s="490" t="s">
        <v>60</v>
      </c>
      <c r="H58" s="489"/>
      <c r="I58" s="493"/>
      <c r="J58" s="491">
        <f>SUM(I57+J57+H57+G57)-C57-E57</f>
        <v>0</v>
      </c>
      <c r="K58" s="486"/>
      <c r="L58" s="492"/>
      <c r="M58" s="493"/>
    </row>
    <row r="59" spans="1:13" ht="14.25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3" ht="14.25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3" ht="14.25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3" ht="14.25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3" ht="14.25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</sheetData>
  <sheetProtection algorithmName="SHA-512" hashValue="CQ9q10KnP0BNXYuYYL7q2Klp6TDFoSKeA7Rws9XTJ/xqokoROw+8w5W5QHhXoAnFM3G9YYFQJCvxksEppmSCIg==" saltValue="cEFnSiNwKI0kkKnqVdVc9g==" spinCount="100000" sheet="1" objects="1" scenarios="1"/>
  <mergeCells count="3">
    <mergeCell ref="A1:L1"/>
    <mergeCell ref="A2:L2"/>
    <mergeCell ref="Q36:R36"/>
  </mergeCells>
  <phoneticPr fontId="39" type="noConversion"/>
  <printOptions horizontalCentered="1" verticalCentered="1"/>
  <pageMargins left="0.74803149606299213" right="0.74803149606299213" top="0.15748031496062992" bottom="0.15748031496062992" header="0.15748031496062992" footer="0.15748031496062992"/>
  <pageSetup paperSize="9" scale="61" orientation="landscape" r:id="rId1"/>
  <headerFooter alignWithMargins="0"/>
  <colBreaks count="1" manualBreakCount="1">
    <brk id="12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>
                <anchor moveWithCells="1" sizeWithCells="1">
                  <from>
                    <xdr:col>13</xdr:col>
                    <xdr:colOff>0</xdr:colOff>
                    <xdr:row>40</xdr:row>
                    <xdr:rowOff>0</xdr:rowOff>
                  </from>
                  <to>
                    <xdr:col>13</xdr:col>
                    <xdr:colOff>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Button 2">
              <controlPr defaultSize="0" print="0" autoFill="0" autoPict="0">
                <anchor moveWithCells="1" sizeWithCells="1">
                  <from>
                    <xdr:col>13</xdr:col>
                    <xdr:colOff>0</xdr:colOff>
                    <xdr:row>40</xdr:row>
                    <xdr:rowOff>0</xdr:rowOff>
                  </from>
                  <to>
                    <xdr:col>13</xdr:col>
                    <xdr:colOff>0</xdr:colOff>
                    <xdr:row>40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>
    <pageSetUpPr fitToPage="1"/>
  </sheetPr>
  <dimension ref="A1:P107"/>
  <sheetViews>
    <sheetView topLeftCell="A4" zoomScale="70" zoomScaleNormal="70" workbookViewId="0">
      <selection activeCell="A9" sqref="A9:A15"/>
    </sheetView>
  </sheetViews>
  <sheetFormatPr defaultColWidth="9.140625" defaultRowHeight="16.5" x14ac:dyDescent="0.3"/>
  <cols>
    <col min="1" max="1" width="36.85546875" style="193" customWidth="1"/>
    <col min="2" max="4" width="19.28515625" style="193" customWidth="1"/>
    <col min="5" max="5" width="2.7109375" style="193" customWidth="1"/>
    <col min="6" max="10" width="19.140625" style="193" customWidth="1"/>
    <col min="11" max="16384" width="9.140625" style="193"/>
  </cols>
  <sheetData>
    <row r="1" spans="1:10" ht="27" customHeight="1" x14ac:dyDescent="0.35">
      <c r="A1" s="625" t="s">
        <v>61</v>
      </c>
      <c r="B1" s="626"/>
      <c r="C1" s="626"/>
      <c r="D1" s="626"/>
    </row>
    <row r="2" spans="1:10" ht="27" customHeight="1" x14ac:dyDescent="0.3">
      <c r="A2" s="627">
        <f>Mon!L3</f>
        <v>46055</v>
      </c>
      <c r="B2" s="628"/>
      <c r="C2" s="628"/>
      <c r="D2" s="628"/>
    </row>
    <row r="3" spans="1:10" ht="27" customHeight="1" x14ac:dyDescent="0.3">
      <c r="A3" s="629" t="s">
        <v>62</v>
      </c>
      <c r="B3" s="630"/>
      <c r="C3" s="630"/>
      <c r="D3" s="630"/>
    </row>
    <row r="4" spans="1:10" ht="17.25" thickBot="1" x14ac:dyDescent="0.35">
      <c r="A4" s="194"/>
      <c r="B4" s="195"/>
      <c r="C4" s="196"/>
      <c r="D4" s="196"/>
    </row>
    <row r="5" spans="1:10" ht="24" customHeight="1" thickBot="1" x14ac:dyDescent="0.35">
      <c r="A5" s="431" t="s">
        <v>63</v>
      </c>
      <c r="B5" s="421" t="s">
        <v>64</v>
      </c>
      <c r="F5" s="342" t="s">
        <v>65</v>
      </c>
      <c r="G5" s="475">
        <f>SUM(G6:G9)</f>
        <v>0</v>
      </c>
    </row>
    <row r="6" spans="1:10" ht="24" customHeight="1" x14ac:dyDescent="0.3">
      <c r="A6" s="432" t="s">
        <v>66</v>
      </c>
      <c r="B6" s="422">
        <f>Takings!B24</f>
        <v>0</v>
      </c>
      <c r="F6" s="340" t="s">
        <v>70</v>
      </c>
      <c r="G6" s="341">
        <f>Takings!C5</f>
        <v>0</v>
      </c>
    </row>
    <row r="7" spans="1:10" ht="24" customHeight="1" x14ac:dyDescent="0.3">
      <c r="A7" s="355" t="s">
        <v>68</v>
      </c>
      <c r="B7" s="423">
        <f>Takings!C24</f>
        <v>0</v>
      </c>
      <c r="F7" s="340" t="s">
        <v>329</v>
      </c>
      <c r="G7" s="341">
        <f>Takings!D5</f>
        <v>0</v>
      </c>
    </row>
    <row r="8" spans="1:10" ht="24" customHeight="1" x14ac:dyDescent="0.3">
      <c r="A8" s="355" t="s">
        <v>69</v>
      </c>
      <c r="B8" s="423">
        <f>Takings!I5</f>
        <v>0</v>
      </c>
      <c r="F8" s="200" t="s">
        <v>67</v>
      </c>
      <c r="G8" s="201">
        <f>Takings!E5</f>
        <v>0</v>
      </c>
    </row>
    <row r="9" spans="1:10" ht="24" customHeight="1" thickBot="1" x14ac:dyDescent="0.35">
      <c r="A9" s="846" t="s">
        <v>71</v>
      </c>
      <c r="B9" s="424"/>
      <c r="C9" s="301"/>
      <c r="F9" s="202" t="s">
        <v>330</v>
      </c>
      <c r="G9" s="203">
        <f>Takings!F5</f>
        <v>0</v>
      </c>
    </row>
    <row r="10" spans="1:10" ht="24" customHeight="1" x14ac:dyDescent="0.3">
      <c r="A10" s="846" t="s">
        <v>72</v>
      </c>
      <c r="B10" s="424"/>
      <c r="C10" s="301"/>
    </row>
    <row r="11" spans="1:10" ht="24" customHeight="1" x14ac:dyDescent="0.3">
      <c r="A11" s="846" t="s">
        <v>73</v>
      </c>
      <c r="B11" s="424"/>
      <c r="C11" s="301"/>
    </row>
    <row r="12" spans="1:10" ht="24" customHeight="1" x14ac:dyDescent="0.3">
      <c r="A12" s="846" t="s">
        <v>339</v>
      </c>
      <c r="B12" s="424"/>
      <c r="C12" s="301"/>
    </row>
    <row r="13" spans="1:10" ht="24" customHeight="1" thickBot="1" x14ac:dyDescent="0.35">
      <c r="A13" s="846" t="s">
        <v>337</v>
      </c>
      <c r="B13" s="424"/>
      <c r="C13" s="301"/>
    </row>
    <row r="14" spans="1:10" ht="24" customHeight="1" thickBot="1" x14ac:dyDescent="0.35">
      <c r="A14" s="846" t="s">
        <v>338</v>
      </c>
      <c r="B14" s="424"/>
      <c r="C14" s="301"/>
      <c r="F14" s="722" t="s">
        <v>74</v>
      </c>
      <c r="G14" s="723"/>
      <c r="H14" s="723"/>
      <c r="I14" s="723"/>
      <c r="J14" s="724"/>
    </row>
    <row r="15" spans="1:10" ht="24" customHeight="1" thickBot="1" x14ac:dyDescent="0.35">
      <c r="A15" s="846" t="s">
        <v>75</v>
      </c>
      <c r="B15" s="424"/>
      <c r="C15" s="301"/>
      <c r="F15" s="578" t="s">
        <v>76</v>
      </c>
      <c r="G15" s="585">
        <f>B45</f>
        <v>0</v>
      </c>
      <c r="H15" s="578" t="s">
        <v>77</v>
      </c>
      <c r="I15" s="725">
        <f>D45</f>
        <v>0</v>
      </c>
      <c r="J15" s="726"/>
    </row>
    <row r="16" spans="1:10" ht="24" customHeight="1" x14ac:dyDescent="0.3">
      <c r="A16" s="355" t="s">
        <v>65</v>
      </c>
      <c r="B16" s="423">
        <f>Takings!B46</f>
        <v>0</v>
      </c>
      <c r="F16" s="727" t="s">
        <v>78</v>
      </c>
      <c r="G16" s="729"/>
      <c r="H16" s="730"/>
      <c r="I16" s="730"/>
      <c r="J16" s="731"/>
    </row>
    <row r="17" spans="1:10" ht="24" customHeight="1" thickBot="1" x14ac:dyDescent="0.35">
      <c r="A17" s="355" t="s">
        <v>79</v>
      </c>
      <c r="B17" s="423">
        <f>Takings!B49</f>
        <v>0</v>
      </c>
      <c r="F17" s="728"/>
      <c r="G17" s="732"/>
      <c r="H17" s="733"/>
      <c r="I17" s="733"/>
      <c r="J17" s="734"/>
    </row>
    <row r="18" spans="1:10" ht="24" customHeight="1" x14ac:dyDescent="0.3">
      <c r="A18" s="514" t="s">
        <v>80</v>
      </c>
      <c r="B18" s="515">
        <f>Takings!H5</f>
        <v>0</v>
      </c>
      <c r="F18" s="727" t="s">
        <v>81</v>
      </c>
      <c r="G18" s="735"/>
      <c r="H18" s="730"/>
      <c r="I18" s="730"/>
      <c r="J18" s="731"/>
    </row>
    <row r="19" spans="1:10" ht="24" customHeight="1" thickBot="1" x14ac:dyDescent="0.35">
      <c r="A19" s="433" t="s">
        <v>22</v>
      </c>
      <c r="B19" s="425">
        <f>Takings!L37</f>
        <v>0</v>
      </c>
      <c r="F19" s="728"/>
      <c r="G19" s="732"/>
      <c r="H19" s="733"/>
      <c r="I19" s="733"/>
      <c r="J19" s="734"/>
    </row>
    <row r="20" spans="1:10" ht="39" customHeight="1" thickBot="1" x14ac:dyDescent="0.35">
      <c r="F20" s="736" t="s">
        <v>331</v>
      </c>
      <c r="G20" s="737"/>
      <c r="H20" s="737"/>
      <c r="I20" s="737"/>
      <c r="J20" s="738"/>
    </row>
    <row r="21" spans="1:10" ht="24" customHeight="1" thickBot="1" x14ac:dyDescent="0.35">
      <c r="A21" s="204"/>
      <c r="B21" s="205" t="s">
        <v>82</v>
      </c>
      <c r="C21" s="206" t="s">
        <v>83</v>
      </c>
      <c r="D21" s="207" t="s">
        <v>84</v>
      </c>
      <c r="F21" s="578" t="s">
        <v>79</v>
      </c>
      <c r="G21" s="583">
        <f>Mon!C22+Mon!C28</f>
        <v>0</v>
      </c>
      <c r="H21" s="578" t="s">
        <v>85</v>
      </c>
      <c r="I21" s="668">
        <f>Mon!J29</f>
        <v>0</v>
      </c>
      <c r="J21" s="669"/>
    </row>
    <row r="22" spans="1:10" ht="24" customHeight="1" thickBot="1" x14ac:dyDescent="0.35">
      <c r="A22" s="210" t="s">
        <v>86</v>
      </c>
      <c r="B22" s="211"/>
      <c r="C22" s="212"/>
      <c r="D22" s="213"/>
      <c r="F22" s="657" t="s">
        <v>87</v>
      </c>
      <c r="G22" s="659"/>
      <c r="H22" s="660"/>
      <c r="I22" s="660"/>
      <c r="J22" s="661"/>
    </row>
    <row r="23" spans="1:10" ht="24" customHeight="1" thickBot="1" x14ac:dyDescent="0.35">
      <c r="A23" s="230"/>
      <c r="B23" s="642" t="s">
        <v>88</v>
      </c>
      <c r="C23" s="643"/>
      <c r="D23" s="644"/>
      <c r="F23" s="658"/>
      <c r="G23" s="662"/>
      <c r="H23" s="663"/>
      <c r="I23" s="663"/>
      <c r="J23" s="664"/>
    </row>
    <row r="24" spans="1:10" ht="24" customHeight="1" x14ac:dyDescent="0.3">
      <c r="A24" s="220" t="s">
        <v>89</v>
      </c>
      <c r="B24" s="319">
        <f>G75</f>
        <v>0</v>
      </c>
      <c r="C24" s="320" t="s">
        <v>90</v>
      </c>
      <c r="D24" s="324"/>
      <c r="F24" s="657" t="s">
        <v>91</v>
      </c>
      <c r="G24" s="670"/>
      <c r="H24" s="671"/>
      <c r="I24" s="671"/>
      <c r="J24" s="672"/>
    </row>
    <row r="25" spans="1:10" ht="24" customHeight="1" thickBot="1" x14ac:dyDescent="0.35">
      <c r="A25" s="220" t="s">
        <v>92</v>
      </c>
      <c r="B25" s="631"/>
      <c r="C25" s="632"/>
      <c r="D25" s="633"/>
      <c r="F25" s="658"/>
      <c r="G25" s="673"/>
      <c r="H25" s="674"/>
      <c r="I25" s="674"/>
      <c r="J25" s="675"/>
    </row>
    <row r="26" spans="1:10" ht="24" customHeight="1" x14ac:dyDescent="0.3">
      <c r="A26" s="220" t="s">
        <v>93</v>
      </c>
      <c r="B26" s="631"/>
      <c r="C26" s="632"/>
      <c r="D26" s="633"/>
      <c r="F26" s="657" t="s">
        <v>94</v>
      </c>
      <c r="G26" s="659"/>
      <c r="H26" s="660"/>
      <c r="I26" s="660"/>
      <c r="J26" s="661"/>
    </row>
    <row r="27" spans="1:10" ht="24" customHeight="1" thickBot="1" x14ac:dyDescent="0.35">
      <c r="A27" s="225" t="s">
        <v>95</v>
      </c>
      <c r="B27" s="634"/>
      <c r="C27" s="634"/>
      <c r="D27" s="635"/>
      <c r="F27" s="658"/>
      <c r="G27" s="662"/>
      <c r="H27" s="663"/>
      <c r="I27" s="663"/>
      <c r="J27" s="664"/>
    </row>
    <row r="28" spans="1:10" ht="24" customHeight="1" thickBot="1" x14ac:dyDescent="0.35">
      <c r="A28" s="219" t="s">
        <v>96</v>
      </c>
      <c r="B28" s="321">
        <f>B6-B24</f>
        <v>0</v>
      </c>
      <c r="C28" s="322" t="s">
        <v>90</v>
      </c>
      <c r="D28" s="323"/>
      <c r="F28" s="665" t="s">
        <v>329</v>
      </c>
      <c r="G28" s="666"/>
      <c r="H28" s="666"/>
      <c r="I28" s="666"/>
      <c r="J28" s="667"/>
    </row>
    <row r="29" spans="1:10" ht="24" customHeight="1" thickBot="1" x14ac:dyDescent="0.35">
      <c r="A29" s="220" t="s">
        <v>97</v>
      </c>
      <c r="B29" s="631"/>
      <c r="C29" s="632"/>
      <c r="D29" s="633"/>
      <c r="F29" s="578" t="s">
        <v>79</v>
      </c>
      <c r="G29" s="583">
        <f>Mon!C8</f>
        <v>0</v>
      </c>
      <c r="H29" s="578" t="s">
        <v>85</v>
      </c>
      <c r="I29" s="668">
        <f>Mon!J9</f>
        <v>0</v>
      </c>
      <c r="J29" s="669"/>
    </row>
    <row r="30" spans="1:10" ht="24" customHeight="1" x14ac:dyDescent="0.3">
      <c r="A30" s="220" t="s">
        <v>93</v>
      </c>
      <c r="B30" s="631"/>
      <c r="C30" s="632"/>
      <c r="D30" s="633"/>
      <c r="F30" s="657" t="s">
        <v>87</v>
      </c>
      <c r="G30" s="659"/>
      <c r="H30" s="660"/>
      <c r="I30" s="660"/>
      <c r="J30" s="661"/>
    </row>
    <row r="31" spans="1:10" ht="24" customHeight="1" thickBot="1" x14ac:dyDescent="0.35">
      <c r="A31" s="225" t="s">
        <v>95</v>
      </c>
      <c r="B31" s="634"/>
      <c r="C31" s="679"/>
      <c r="D31" s="680"/>
      <c r="F31" s="658"/>
      <c r="G31" s="662"/>
      <c r="H31" s="663"/>
      <c r="I31" s="663"/>
      <c r="J31" s="664"/>
    </row>
    <row r="32" spans="1:10" ht="24" customHeight="1" x14ac:dyDescent="0.3">
      <c r="A32" s="220"/>
      <c r="B32" s="698" t="s">
        <v>332</v>
      </c>
      <c r="C32" s="699"/>
      <c r="D32" s="700"/>
      <c r="F32" s="657" t="s">
        <v>91</v>
      </c>
      <c r="G32" s="659"/>
      <c r="H32" s="660"/>
      <c r="I32" s="660"/>
      <c r="J32" s="661"/>
    </row>
    <row r="33" spans="1:16" ht="24" customHeight="1" thickBot="1" x14ac:dyDescent="0.35">
      <c r="A33" s="220" t="s">
        <v>333</v>
      </c>
      <c r="B33" s="631"/>
      <c r="C33" s="701"/>
      <c r="D33" s="702"/>
      <c r="F33" s="658"/>
      <c r="G33" s="662"/>
      <c r="H33" s="663"/>
      <c r="I33" s="663"/>
      <c r="J33" s="664"/>
    </row>
    <row r="34" spans="1:16" ht="24" customHeight="1" x14ac:dyDescent="0.3">
      <c r="A34" s="220" t="s">
        <v>334</v>
      </c>
      <c r="B34" s="631"/>
      <c r="C34" s="701"/>
      <c r="D34" s="702"/>
      <c r="F34" s="657" t="s">
        <v>94</v>
      </c>
      <c r="G34" s="670"/>
      <c r="H34" s="671"/>
      <c r="I34" s="671"/>
      <c r="J34" s="672"/>
    </row>
    <row r="35" spans="1:16" ht="24" customHeight="1" thickBot="1" x14ac:dyDescent="0.35">
      <c r="A35" s="220" t="s">
        <v>335</v>
      </c>
      <c r="B35" s="631"/>
      <c r="C35" s="701"/>
      <c r="D35" s="702"/>
      <c r="F35" s="658"/>
      <c r="G35" s="673"/>
      <c r="H35" s="674"/>
      <c r="I35" s="674"/>
      <c r="J35" s="675"/>
    </row>
    <row r="36" spans="1:16" ht="24" customHeight="1" thickBot="1" x14ac:dyDescent="0.35">
      <c r="A36" s="220" t="s">
        <v>98</v>
      </c>
      <c r="B36" s="631"/>
      <c r="C36" s="701"/>
      <c r="D36" s="702"/>
      <c r="F36" s="676" t="s">
        <v>99</v>
      </c>
      <c r="G36" s="677"/>
      <c r="H36" s="677"/>
      <c r="I36" s="677"/>
      <c r="J36" s="678"/>
    </row>
    <row r="37" spans="1:16" ht="24" customHeight="1" thickBot="1" x14ac:dyDescent="0.35">
      <c r="A37" s="225" t="s">
        <v>336</v>
      </c>
      <c r="B37" s="634"/>
      <c r="C37" s="703"/>
      <c r="D37" s="704"/>
      <c r="F37" s="578" t="s">
        <v>79</v>
      </c>
      <c r="G37" s="583">
        <f>Mon!C15</f>
        <v>0</v>
      </c>
      <c r="H37" s="578" t="s">
        <v>85</v>
      </c>
      <c r="I37" s="668">
        <f>Mon!J16</f>
        <v>0</v>
      </c>
      <c r="J37" s="669"/>
    </row>
    <row r="38" spans="1:16" ht="24" customHeight="1" x14ac:dyDescent="0.3">
      <c r="A38" s="220"/>
      <c r="B38" s="648" t="s">
        <v>100</v>
      </c>
      <c r="C38" s="649"/>
      <c r="D38" s="650"/>
      <c r="F38" s="657" t="s">
        <v>87</v>
      </c>
      <c r="G38" s="659"/>
      <c r="H38" s="660"/>
      <c r="I38" s="660"/>
      <c r="J38" s="661"/>
    </row>
    <row r="39" spans="1:16" ht="24" customHeight="1" thickBot="1" x14ac:dyDescent="0.35">
      <c r="A39" s="220" t="s">
        <v>101</v>
      </c>
      <c r="B39" s="695"/>
      <c r="C39" s="696"/>
      <c r="D39" s="697"/>
      <c r="F39" s="658"/>
      <c r="G39" s="662"/>
      <c r="H39" s="663"/>
      <c r="I39" s="663"/>
      <c r="J39" s="664"/>
    </row>
    <row r="40" spans="1:16" ht="24" customHeight="1" x14ac:dyDescent="0.3">
      <c r="A40" s="220" t="s">
        <v>102</v>
      </c>
      <c r="B40" s="639" t="e">
        <f>Takings!B24/Takings!E24</f>
        <v>#DIV/0!</v>
      </c>
      <c r="C40" s="640"/>
      <c r="D40" s="641"/>
      <c r="F40" s="657" t="s">
        <v>91</v>
      </c>
      <c r="G40" s="659"/>
      <c r="H40" s="660"/>
      <c r="I40" s="660"/>
      <c r="J40" s="661"/>
    </row>
    <row r="41" spans="1:16" ht="24" customHeight="1" thickBot="1" x14ac:dyDescent="0.35">
      <c r="A41" s="220" t="s">
        <v>103</v>
      </c>
      <c r="B41" s="645"/>
      <c r="C41" s="646"/>
      <c r="D41" s="647"/>
      <c r="F41" s="658"/>
      <c r="G41" s="662"/>
      <c r="H41" s="663"/>
      <c r="I41" s="663"/>
      <c r="J41" s="664"/>
      <c r="P41" s="584"/>
    </row>
    <row r="42" spans="1:16" ht="24" customHeight="1" x14ac:dyDescent="0.3">
      <c r="A42" s="230"/>
      <c r="B42" s="642" t="s">
        <v>22</v>
      </c>
      <c r="C42" s="643"/>
      <c r="D42" s="644"/>
      <c r="F42" s="657" t="s">
        <v>94</v>
      </c>
      <c r="G42" s="670"/>
      <c r="H42" s="671"/>
      <c r="I42" s="671"/>
      <c r="J42" s="672"/>
    </row>
    <row r="43" spans="1:16" ht="24" customHeight="1" thickBot="1" x14ac:dyDescent="0.35">
      <c r="A43" s="220" t="s">
        <v>104</v>
      </c>
      <c r="B43" s="636"/>
      <c r="C43" s="637"/>
      <c r="D43" s="638"/>
      <c r="F43" s="658"/>
      <c r="G43" s="673"/>
      <c r="H43" s="674"/>
      <c r="I43" s="674"/>
      <c r="J43" s="675"/>
    </row>
    <row r="44" spans="1:16" ht="24" customHeight="1" thickBot="1" x14ac:dyDescent="0.35">
      <c r="A44" s="220" t="s">
        <v>105</v>
      </c>
      <c r="B44" s="693"/>
      <c r="C44" s="636"/>
      <c r="D44" s="694"/>
      <c r="F44" s="739" t="s">
        <v>106</v>
      </c>
      <c r="G44" s="740"/>
      <c r="H44" s="740"/>
      <c r="I44" s="740"/>
      <c r="J44" s="741"/>
    </row>
    <row r="45" spans="1:16" ht="24" customHeight="1" thickBot="1" x14ac:dyDescent="0.35">
      <c r="A45" s="220" t="s">
        <v>107</v>
      </c>
      <c r="B45" s="414"/>
      <c r="C45" s="415"/>
      <c r="D45" s="231"/>
      <c r="F45" s="578" t="s">
        <v>79</v>
      </c>
      <c r="G45" s="583">
        <f>Mon!C36+Mon!C42</f>
        <v>0</v>
      </c>
      <c r="H45" s="578" t="s">
        <v>85</v>
      </c>
      <c r="I45" s="668">
        <f>Mon!J43</f>
        <v>0</v>
      </c>
      <c r="J45" s="669"/>
    </row>
    <row r="46" spans="1:16" ht="24" customHeight="1" thickBot="1" x14ac:dyDescent="0.35">
      <c r="A46" s="582"/>
      <c r="B46" s="681"/>
      <c r="C46" s="682"/>
      <c r="D46" s="683"/>
      <c r="F46" s="657" t="s">
        <v>87</v>
      </c>
      <c r="G46" s="659"/>
      <c r="H46" s="660"/>
      <c r="I46" s="660"/>
      <c r="J46" s="661"/>
    </row>
    <row r="47" spans="1:16" ht="24" customHeight="1" thickBot="1" x14ac:dyDescent="0.35">
      <c r="A47" s="581"/>
      <c r="B47" s="690" t="s">
        <v>108</v>
      </c>
      <c r="C47" s="691"/>
      <c r="D47" s="692"/>
      <c r="F47" s="658"/>
      <c r="G47" s="662"/>
      <c r="H47" s="663"/>
      <c r="I47" s="663"/>
      <c r="J47" s="664"/>
    </row>
    <row r="48" spans="1:16" ht="24" customHeight="1" x14ac:dyDescent="0.3">
      <c r="A48" s="579" t="s">
        <v>104</v>
      </c>
      <c r="B48" s="684"/>
      <c r="C48" s="685"/>
      <c r="D48" s="686"/>
      <c r="F48" s="657" t="s">
        <v>91</v>
      </c>
      <c r="G48" s="659"/>
      <c r="H48" s="660"/>
      <c r="I48" s="660"/>
      <c r="J48" s="661"/>
    </row>
    <row r="49" spans="1:10" ht="24" customHeight="1" thickBot="1" x14ac:dyDescent="0.35">
      <c r="A49" s="580" t="s">
        <v>105</v>
      </c>
      <c r="B49" s="687"/>
      <c r="C49" s="688"/>
      <c r="D49" s="689"/>
      <c r="F49" s="658"/>
      <c r="G49" s="662"/>
      <c r="H49" s="663"/>
      <c r="I49" s="663"/>
      <c r="J49" s="664"/>
    </row>
    <row r="50" spans="1:10" ht="24" customHeight="1" x14ac:dyDescent="0.3">
      <c r="A50" s="230"/>
      <c r="B50" s="705" t="s">
        <v>109</v>
      </c>
      <c r="C50" s="643"/>
      <c r="D50" s="644"/>
      <c r="F50" s="657" t="s">
        <v>94</v>
      </c>
      <c r="G50" s="659"/>
      <c r="H50" s="660"/>
      <c r="I50" s="660"/>
      <c r="J50" s="661"/>
    </row>
    <row r="51" spans="1:10" ht="24" customHeight="1" thickBot="1" x14ac:dyDescent="0.35">
      <c r="A51" s="232" t="s">
        <v>110</v>
      </c>
      <c r="B51" s="693"/>
      <c r="C51" s="637"/>
      <c r="D51" s="638"/>
      <c r="F51" s="658"/>
      <c r="G51" s="662"/>
      <c r="H51" s="663"/>
      <c r="I51" s="663"/>
      <c r="J51" s="664"/>
    </row>
    <row r="52" spans="1:10" ht="24" customHeight="1" x14ac:dyDescent="0.3">
      <c r="A52" s="220" t="s">
        <v>111</v>
      </c>
      <c r="B52" s="251" t="s">
        <v>112</v>
      </c>
      <c r="C52" s="253" t="s">
        <v>113</v>
      </c>
      <c r="D52" s="252"/>
    </row>
    <row r="53" spans="1:10" ht="24" customHeight="1" thickBot="1" x14ac:dyDescent="0.35">
      <c r="A53" s="220" t="s">
        <v>114</v>
      </c>
      <c r="B53" s="693" t="s">
        <v>112</v>
      </c>
      <c r="C53" s="637"/>
      <c r="D53" s="638"/>
    </row>
    <row r="54" spans="1:10" ht="24" customHeight="1" thickBot="1" x14ac:dyDescent="0.35">
      <c r="A54" s="230"/>
      <c r="B54" s="705" t="s">
        <v>115</v>
      </c>
      <c r="C54" s="643"/>
      <c r="D54" s="644"/>
      <c r="F54" s="198" t="s">
        <v>116</v>
      </c>
    </row>
    <row r="55" spans="1:10" ht="24" customHeight="1" x14ac:dyDescent="0.3">
      <c r="A55" s="220" t="s">
        <v>117</v>
      </c>
      <c r="B55" s="693"/>
      <c r="C55" s="637"/>
      <c r="D55" s="638"/>
      <c r="F55" s="208" t="s">
        <v>118</v>
      </c>
      <c r="G55" s="651" t="s">
        <v>119</v>
      </c>
      <c r="H55" s="652"/>
      <c r="I55" s="653"/>
      <c r="J55" s="209" t="s">
        <v>120</v>
      </c>
    </row>
    <row r="56" spans="1:10" ht="24" customHeight="1" x14ac:dyDescent="0.3">
      <c r="A56" s="220" t="s">
        <v>111</v>
      </c>
      <c r="B56" s="693"/>
      <c r="C56" s="637"/>
      <c r="D56" s="638"/>
      <c r="F56" s="343"/>
      <c r="G56" s="654"/>
      <c r="H56" s="655"/>
      <c r="I56" s="656"/>
      <c r="J56" s="215"/>
    </row>
    <row r="57" spans="1:10" ht="24" customHeight="1" thickBot="1" x14ac:dyDescent="0.35">
      <c r="A57" s="220" t="s">
        <v>114</v>
      </c>
      <c r="B57" s="693"/>
      <c r="C57" s="637"/>
      <c r="D57" s="638"/>
      <c r="F57" s="343"/>
      <c r="G57" s="654"/>
      <c r="H57" s="655"/>
      <c r="I57" s="656"/>
      <c r="J57" s="215"/>
    </row>
    <row r="58" spans="1:10" ht="24" customHeight="1" x14ac:dyDescent="0.3">
      <c r="A58" s="238"/>
      <c r="B58" s="620" t="s">
        <v>121</v>
      </c>
      <c r="C58" s="620"/>
      <c r="D58" s="621"/>
      <c r="F58" s="343"/>
      <c r="G58" s="654"/>
      <c r="H58" s="655"/>
      <c r="I58" s="656"/>
      <c r="J58" s="215"/>
    </row>
    <row r="59" spans="1:10" ht="24" customHeight="1" x14ac:dyDescent="0.3">
      <c r="A59" s="239" t="s">
        <v>122</v>
      </c>
      <c r="B59" s="622"/>
      <c r="C59" s="623"/>
      <c r="D59" s="624"/>
      <c r="F59" s="343"/>
      <c r="G59" s="654"/>
      <c r="H59" s="655"/>
      <c r="I59" s="656"/>
      <c r="J59" s="215"/>
    </row>
    <row r="60" spans="1:10" ht="24" customHeight="1" thickBot="1" x14ac:dyDescent="0.35">
      <c r="A60" s="239" t="s">
        <v>123</v>
      </c>
      <c r="B60" s="614"/>
      <c r="C60" s="710"/>
      <c r="D60" s="711"/>
      <c r="E60" s="237"/>
      <c r="F60" s="343"/>
      <c r="G60" s="654"/>
      <c r="H60" s="655"/>
      <c r="I60" s="656"/>
      <c r="J60" s="215"/>
    </row>
    <row r="61" spans="1:10" ht="24" customHeight="1" x14ac:dyDescent="0.3">
      <c r="A61" s="238"/>
      <c r="B61" s="713" t="s">
        <v>124</v>
      </c>
      <c r="C61" s="620"/>
      <c r="D61" s="621"/>
      <c r="E61" s="237"/>
      <c r="F61" s="214"/>
      <c r="G61" s="654"/>
      <c r="H61" s="655"/>
      <c r="I61" s="656"/>
      <c r="J61" s="215"/>
    </row>
    <row r="62" spans="1:10" ht="24" customHeight="1" x14ac:dyDescent="0.3">
      <c r="A62" s="239" t="s">
        <v>125</v>
      </c>
      <c r="B62" s="614"/>
      <c r="C62" s="615"/>
      <c r="D62" s="616"/>
      <c r="E62" s="237"/>
      <c r="F62" s="214"/>
      <c r="G62" s="654"/>
      <c r="H62" s="655"/>
      <c r="I62" s="656"/>
      <c r="J62" s="215"/>
    </row>
    <row r="63" spans="1:10" ht="24" customHeight="1" thickBot="1" x14ac:dyDescent="0.35">
      <c r="A63" s="240"/>
      <c r="B63" s="617"/>
      <c r="C63" s="618"/>
      <c r="D63" s="619"/>
      <c r="E63" s="237"/>
      <c r="F63" s="216"/>
      <c r="G63" s="707"/>
      <c r="H63" s="708"/>
      <c r="I63" s="709"/>
      <c r="J63" s="217"/>
    </row>
    <row r="64" spans="1:10" ht="24" customHeight="1" thickBot="1" x14ac:dyDescent="0.35">
      <c r="A64" s="241" t="s">
        <v>126</v>
      </c>
      <c r="B64" s="706"/>
      <c r="C64" s="714"/>
      <c r="D64" s="715"/>
      <c r="E64" s="237"/>
    </row>
    <row r="65" spans="1:10" ht="24" customHeight="1" x14ac:dyDescent="0.3">
      <c r="A65" s="242"/>
      <c r="B65" s="717" t="s">
        <v>127</v>
      </c>
      <c r="C65" s="718"/>
      <c r="D65" s="719"/>
      <c r="E65" s="237"/>
      <c r="F65" s="218" t="s">
        <v>88</v>
      </c>
      <c r="G65" s="218"/>
      <c r="H65" s="198" t="s">
        <v>128</v>
      </c>
      <c r="I65" s="218" t="s">
        <v>129</v>
      </c>
      <c r="J65" s="218" t="s">
        <v>130</v>
      </c>
    </row>
    <row r="66" spans="1:10" ht="24" customHeight="1" thickBot="1" x14ac:dyDescent="0.35">
      <c r="A66" s="434" t="s">
        <v>131</v>
      </c>
      <c r="B66" s="712"/>
      <c r="C66" s="720"/>
      <c r="D66" s="721"/>
      <c r="E66" s="237"/>
      <c r="F66" s="92" t="s">
        <v>130</v>
      </c>
      <c r="G66" s="92" t="s">
        <v>40</v>
      </c>
      <c r="H66" s="92" t="s">
        <v>40</v>
      </c>
      <c r="I66" s="92" t="s">
        <v>132</v>
      </c>
      <c r="J66" s="92" t="s">
        <v>133</v>
      </c>
    </row>
    <row r="67" spans="1:10" ht="24" customHeight="1" x14ac:dyDescent="0.3">
      <c r="A67" s="339" t="s">
        <v>134</v>
      </c>
      <c r="B67" s="712"/>
      <c r="C67" s="720"/>
      <c r="D67" s="721"/>
      <c r="E67" s="237"/>
      <c r="F67" s="110" t="s">
        <v>135</v>
      </c>
      <c r="G67" s="221"/>
      <c r="H67" s="222"/>
      <c r="I67" s="223"/>
      <c r="J67" s="224">
        <v>23</v>
      </c>
    </row>
    <row r="68" spans="1:10" ht="24" customHeight="1" x14ac:dyDescent="0.3">
      <c r="A68" s="243" t="s">
        <v>136</v>
      </c>
      <c r="B68" s="712"/>
      <c r="C68" s="710"/>
      <c r="D68" s="711"/>
      <c r="F68" s="118" t="s">
        <v>137</v>
      </c>
      <c r="G68" s="226"/>
      <c r="H68" s="227">
        <f t="shared" ref="H68:H73" si="0">G68-G67</f>
        <v>0</v>
      </c>
      <c r="I68" s="228"/>
      <c r="J68" s="229">
        <v>23</v>
      </c>
    </row>
    <row r="69" spans="1:10" ht="24" customHeight="1" thickBot="1" x14ac:dyDescent="0.35">
      <c r="A69" s="243" t="s">
        <v>138</v>
      </c>
      <c r="B69" s="716"/>
      <c r="C69" s="682"/>
      <c r="D69" s="683"/>
      <c r="F69" s="118" t="s">
        <v>139</v>
      </c>
      <c r="G69" s="226"/>
      <c r="H69" s="227">
        <f t="shared" si="0"/>
        <v>0</v>
      </c>
      <c r="I69" s="228"/>
      <c r="J69" s="229">
        <v>23</v>
      </c>
    </row>
    <row r="70" spans="1:10" ht="24" customHeight="1" x14ac:dyDescent="0.3">
      <c r="A70" s="244"/>
      <c r="B70" s="713" t="s">
        <v>140</v>
      </c>
      <c r="C70" s="620"/>
      <c r="D70" s="621"/>
      <c r="F70" s="118" t="s">
        <v>141</v>
      </c>
      <c r="G70" s="226"/>
      <c r="H70" s="227">
        <f t="shared" si="0"/>
        <v>0</v>
      </c>
      <c r="I70" s="228"/>
      <c r="J70" s="229">
        <v>23</v>
      </c>
    </row>
    <row r="71" spans="1:10" ht="24" customHeight="1" x14ac:dyDescent="0.3">
      <c r="A71" s="243" t="s">
        <v>142</v>
      </c>
      <c r="B71" s="614"/>
      <c r="C71" s="710"/>
      <c r="D71" s="711"/>
      <c r="F71" s="118" t="s">
        <v>143</v>
      </c>
      <c r="G71" s="226"/>
      <c r="H71" s="227">
        <f t="shared" si="0"/>
        <v>0</v>
      </c>
      <c r="I71" s="228"/>
      <c r="J71" s="229">
        <v>23</v>
      </c>
    </row>
    <row r="72" spans="1:10" ht="24" customHeight="1" thickBot="1" x14ac:dyDescent="0.35">
      <c r="A72" s="245" t="s">
        <v>144</v>
      </c>
      <c r="B72" s="706"/>
      <c r="C72" s="682"/>
      <c r="D72" s="683"/>
      <c r="F72" s="118" t="s">
        <v>145</v>
      </c>
      <c r="G72" s="226"/>
      <c r="H72" s="227">
        <f t="shared" si="0"/>
        <v>0</v>
      </c>
      <c r="I72" s="228"/>
      <c r="J72" s="229">
        <v>23</v>
      </c>
    </row>
    <row r="73" spans="1:10" ht="24" customHeight="1" x14ac:dyDescent="0.3">
      <c r="F73" s="118" t="s">
        <v>146</v>
      </c>
      <c r="G73" s="226"/>
      <c r="H73" s="227">
        <f t="shared" si="0"/>
        <v>0</v>
      </c>
      <c r="I73" s="228"/>
      <c r="J73" s="229">
        <v>23</v>
      </c>
    </row>
    <row r="74" spans="1:10" ht="24" customHeight="1" x14ac:dyDescent="0.3">
      <c r="F74" s="118" t="s">
        <v>147</v>
      </c>
      <c r="G74" s="226"/>
      <c r="H74" s="227">
        <f t="shared" ref="H74:H85" si="1">G74-G73</f>
        <v>0</v>
      </c>
      <c r="I74" s="228"/>
      <c r="J74" s="229">
        <v>23</v>
      </c>
    </row>
    <row r="75" spans="1:10" ht="24" customHeight="1" x14ac:dyDescent="0.3">
      <c r="F75" s="118" t="s">
        <v>148</v>
      </c>
      <c r="G75" s="226"/>
      <c r="H75" s="227">
        <f t="shared" si="1"/>
        <v>0</v>
      </c>
      <c r="I75" s="228"/>
      <c r="J75" s="229">
        <v>23</v>
      </c>
    </row>
    <row r="76" spans="1:10" ht="24" customHeight="1" x14ac:dyDescent="0.3">
      <c r="F76" s="118" t="s">
        <v>149</v>
      </c>
      <c r="G76" s="226"/>
      <c r="H76" s="227">
        <f t="shared" si="1"/>
        <v>0</v>
      </c>
      <c r="I76" s="228"/>
      <c r="J76" s="229">
        <v>23</v>
      </c>
    </row>
    <row r="77" spans="1:10" ht="24" customHeight="1" x14ac:dyDescent="0.3">
      <c r="F77" s="118" t="s">
        <v>150</v>
      </c>
      <c r="G77" s="226"/>
      <c r="H77" s="227">
        <f t="shared" si="1"/>
        <v>0</v>
      </c>
      <c r="I77" s="228"/>
      <c r="J77" s="229">
        <v>23</v>
      </c>
    </row>
    <row r="78" spans="1:10" ht="24" customHeight="1" x14ac:dyDescent="0.3">
      <c r="F78" s="118" t="s">
        <v>151</v>
      </c>
      <c r="G78" s="226"/>
      <c r="H78" s="227">
        <f t="shared" si="1"/>
        <v>0</v>
      </c>
      <c r="I78" s="228"/>
      <c r="J78" s="229">
        <v>23</v>
      </c>
    </row>
    <row r="79" spans="1:10" ht="24" customHeight="1" x14ac:dyDescent="0.3">
      <c r="F79" s="118" t="s">
        <v>152</v>
      </c>
      <c r="G79" s="226"/>
      <c r="H79" s="227">
        <f t="shared" si="1"/>
        <v>0</v>
      </c>
      <c r="I79" s="228"/>
      <c r="J79" s="229">
        <v>23</v>
      </c>
    </row>
    <row r="80" spans="1:10" ht="24" customHeight="1" x14ac:dyDescent="0.3">
      <c r="F80" s="118" t="s">
        <v>153</v>
      </c>
      <c r="G80" s="226"/>
      <c r="H80" s="227">
        <f t="shared" si="1"/>
        <v>0</v>
      </c>
      <c r="I80" s="228"/>
      <c r="J80" s="229">
        <v>23</v>
      </c>
    </row>
    <row r="81" spans="6:10" ht="24" customHeight="1" x14ac:dyDescent="0.3">
      <c r="F81" s="118" t="s">
        <v>154</v>
      </c>
      <c r="G81" s="226"/>
      <c r="H81" s="227">
        <f t="shared" si="1"/>
        <v>0</v>
      </c>
      <c r="I81" s="228"/>
      <c r="J81" s="229">
        <v>23</v>
      </c>
    </row>
    <row r="82" spans="6:10" ht="24" customHeight="1" x14ac:dyDescent="0.3">
      <c r="F82" s="118" t="s">
        <v>155</v>
      </c>
      <c r="G82" s="226"/>
      <c r="H82" s="227">
        <f t="shared" si="1"/>
        <v>0</v>
      </c>
      <c r="I82" s="228"/>
      <c r="J82" s="229">
        <v>23</v>
      </c>
    </row>
    <row r="83" spans="6:10" ht="24" customHeight="1" x14ac:dyDescent="0.3">
      <c r="F83" s="118" t="s">
        <v>156</v>
      </c>
      <c r="G83" s="226"/>
      <c r="H83" s="227">
        <f t="shared" si="1"/>
        <v>0</v>
      </c>
      <c r="I83" s="228"/>
      <c r="J83" s="229">
        <v>23</v>
      </c>
    </row>
    <row r="84" spans="6:10" ht="24" customHeight="1" x14ac:dyDescent="0.3">
      <c r="F84" s="118" t="s">
        <v>157</v>
      </c>
      <c r="G84" s="226"/>
      <c r="H84" s="227">
        <f t="shared" si="1"/>
        <v>0</v>
      </c>
      <c r="I84" s="228"/>
      <c r="J84" s="229">
        <v>23</v>
      </c>
    </row>
    <row r="85" spans="6:10" ht="24" customHeight="1" thickBot="1" x14ac:dyDescent="0.35">
      <c r="F85" s="127" t="s">
        <v>158</v>
      </c>
      <c r="G85" s="233"/>
      <c r="H85" s="234">
        <f t="shared" si="1"/>
        <v>0</v>
      </c>
      <c r="I85" s="235"/>
      <c r="J85" s="236">
        <v>23</v>
      </c>
    </row>
    <row r="86" spans="6:10" ht="24" customHeight="1" x14ac:dyDescent="0.3"/>
    <row r="87" spans="6:10" ht="24" customHeight="1" x14ac:dyDescent="0.3"/>
    <row r="88" spans="6:10" ht="24" customHeight="1" x14ac:dyDescent="0.3"/>
    <row r="89" spans="6:10" ht="24" customHeight="1" x14ac:dyDescent="0.3"/>
    <row r="90" spans="6:10" ht="24" customHeight="1" x14ac:dyDescent="0.3"/>
    <row r="91" spans="6:10" ht="24" customHeight="1" x14ac:dyDescent="0.3"/>
    <row r="92" spans="6:10" ht="24" customHeight="1" x14ac:dyDescent="0.3"/>
    <row r="93" spans="6:10" ht="24" customHeight="1" x14ac:dyDescent="0.3"/>
    <row r="94" spans="6:10" ht="24" customHeight="1" x14ac:dyDescent="0.3"/>
    <row r="95" spans="6:10" ht="24" customHeight="1" x14ac:dyDescent="0.3"/>
    <row r="96" spans="6:10" ht="24" customHeight="1" x14ac:dyDescent="0.3"/>
    <row r="97" ht="24" customHeight="1" x14ac:dyDescent="0.3"/>
    <row r="98" ht="24" customHeight="1" x14ac:dyDescent="0.3"/>
    <row r="99" ht="24" customHeight="1" x14ac:dyDescent="0.3"/>
    <row r="100" ht="24" customHeight="1" x14ac:dyDescent="0.3"/>
    <row r="101" ht="24" customHeight="1" x14ac:dyDescent="0.3"/>
    <row r="102" ht="24" customHeight="1" x14ac:dyDescent="0.3"/>
    <row r="103" ht="24" customHeight="1" x14ac:dyDescent="0.3"/>
    <row r="104" ht="24" customHeight="1" x14ac:dyDescent="0.3"/>
    <row r="105" ht="24" customHeight="1" x14ac:dyDescent="0.3"/>
    <row r="106" ht="24" customHeight="1" x14ac:dyDescent="0.3"/>
    <row r="107" ht="24" customHeight="1" x14ac:dyDescent="0.3"/>
  </sheetData>
  <sheetProtection algorithmName="SHA-512" hashValue="6/LfFeyUzsoCUZR8wxdyux3dBm/23GhVtFvQfcUXkoKoXSXjq/d6Gd09bQ+1q1UP6+7gdvFFqvcpQsD1oXaxAg==" saltValue="pQeJ9HleQOvh4b9NDGhV3w==" spinCount="100000" sheet="1" objects="1" scenarios="1"/>
  <protectedRanges>
    <protectedRange sqref="A9:A15" name="Range1"/>
  </protectedRanges>
  <mergeCells count="95">
    <mergeCell ref="G63:I63"/>
    <mergeCell ref="G62:I62"/>
    <mergeCell ref="G60:I60"/>
    <mergeCell ref="G61:I61"/>
    <mergeCell ref="G59:I59"/>
    <mergeCell ref="F50:F51"/>
    <mergeCell ref="G50:J51"/>
    <mergeCell ref="G55:I55"/>
    <mergeCell ref="G58:I58"/>
    <mergeCell ref="G57:I57"/>
    <mergeCell ref="G56:I56"/>
    <mergeCell ref="I45:J45"/>
    <mergeCell ref="F46:F47"/>
    <mergeCell ref="G46:J47"/>
    <mergeCell ref="F48:F49"/>
    <mergeCell ref="G48:J49"/>
    <mergeCell ref="F40:F41"/>
    <mergeCell ref="G40:J41"/>
    <mergeCell ref="F42:F43"/>
    <mergeCell ref="G42:J43"/>
    <mergeCell ref="F44:J44"/>
    <mergeCell ref="B53:D53"/>
    <mergeCell ref="F14:J14"/>
    <mergeCell ref="I15:J15"/>
    <mergeCell ref="F16:F17"/>
    <mergeCell ref="G16:J17"/>
    <mergeCell ref="F18:F19"/>
    <mergeCell ref="G18:J19"/>
    <mergeCell ref="F20:J20"/>
    <mergeCell ref="I21:J21"/>
    <mergeCell ref="F22:F23"/>
    <mergeCell ref="G22:J23"/>
    <mergeCell ref="F24:F25"/>
    <mergeCell ref="G24:J25"/>
    <mergeCell ref="I37:J37"/>
    <mergeCell ref="F38:F39"/>
    <mergeCell ref="G38:J39"/>
    <mergeCell ref="B72:D72"/>
    <mergeCell ref="B64:D64"/>
    <mergeCell ref="B65:D65"/>
    <mergeCell ref="B69:D69"/>
    <mergeCell ref="B70:D70"/>
    <mergeCell ref="B71:D71"/>
    <mergeCell ref="B66:D66"/>
    <mergeCell ref="B68:D68"/>
    <mergeCell ref="B67:D67"/>
    <mergeCell ref="I29:J29"/>
    <mergeCell ref="B59:D59"/>
    <mergeCell ref="B61:D61"/>
    <mergeCell ref="B62:D63"/>
    <mergeCell ref="B60:D60"/>
    <mergeCell ref="B54:D54"/>
    <mergeCell ref="B58:D58"/>
    <mergeCell ref="B46:D46"/>
    <mergeCell ref="B47:D47"/>
    <mergeCell ref="B49:D49"/>
    <mergeCell ref="B50:D50"/>
    <mergeCell ref="B48:D48"/>
    <mergeCell ref="B57:D57"/>
    <mergeCell ref="B56:D56"/>
    <mergeCell ref="B55:D55"/>
    <mergeCell ref="B51:D51"/>
    <mergeCell ref="F36:J36"/>
    <mergeCell ref="A1:D1"/>
    <mergeCell ref="A2:D2"/>
    <mergeCell ref="A3:D3"/>
    <mergeCell ref="B25:D25"/>
    <mergeCell ref="B26:D26"/>
    <mergeCell ref="F30:F31"/>
    <mergeCell ref="G30:J31"/>
    <mergeCell ref="F32:F33"/>
    <mergeCell ref="G32:J33"/>
    <mergeCell ref="F34:F35"/>
    <mergeCell ref="G34:J35"/>
    <mergeCell ref="B23:D23"/>
    <mergeCell ref="F26:F27"/>
    <mergeCell ref="G26:J27"/>
    <mergeCell ref="F28:J28"/>
    <mergeCell ref="B30:D30"/>
    <mergeCell ref="B27:D27"/>
    <mergeCell ref="B29:D29"/>
    <mergeCell ref="B43:D43"/>
    <mergeCell ref="B38:D38"/>
    <mergeCell ref="B39:D39"/>
    <mergeCell ref="B31:D31"/>
    <mergeCell ref="B41:D41"/>
    <mergeCell ref="B44:D44"/>
    <mergeCell ref="B42:D42"/>
    <mergeCell ref="B32:D32"/>
    <mergeCell ref="B34:D34"/>
    <mergeCell ref="B35:D35"/>
    <mergeCell ref="B36:D36"/>
    <mergeCell ref="B37:D37"/>
    <mergeCell ref="B33:D33"/>
    <mergeCell ref="B40:D40"/>
  </mergeCells>
  <conditionalFormatting sqref="B40:D40">
    <cfRule type="cellIs" dxfId="6" priority="1" operator="lessThan">
      <formula>2.1</formula>
    </cfRule>
  </conditionalFormatting>
  <pageMargins left="0.25" right="0.25" top="0.75" bottom="0.75" header="0.3" footer="0.3"/>
  <pageSetup paperSize="9" scale="5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R63"/>
  <sheetViews>
    <sheetView zoomScale="85" zoomScaleNormal="85" workbookViewId="0">
      <selection activeCell="Q8" sqref="Q8"/>
    </sheetView>
  </sheetViews>
  <sheetFormatPr defaultColWidth="9.140625" defaultRowHeight="12.75" x14ac:dyDescent="0.2"/>
  <cols>
    <col min="1" max="1" width="18.140625" style="1" customWidth="1"/>
    <col min="2" max="2" width="13.7109375" style="1" customWidth="1"/>
    <col min="3" max="5" width="13" style="1" customWidth="1"/>
    <col min="6" max="7" width="13.7109375" style="1" customWidth="1"/>
    <col min="8" max="8" width="13.7109375" style="1" hidden="1" customWidth="1"/>
    <col min="9" max="9" width="15.7109375" style="1" customWidth="1"/>
    <col min="10" max="10" width="13.7109375" style="1" customWidth="1"/>
    <col min="11" max="11" width="16.28515625" style="1" customWidth="1"/>
    <col min="12" max="12" width="13.7109375" style="1" customWidth="1"/>
    <col min="13" max="13" width="9.28515625" style="1" customWidth="1"/>
    <col min="14" max="14" width="15.140625" style="1" customWidth="1"/>
    <col min="15" max="15" width="14.5703125" style="1" customWidth="1"/>
    <col min="16" max="16" width="4.42578125" style="1" customWidth="1"/>
    <col min="17" max="17" width="17.7109375" style="1" bestFit="1" customWidth="1"/>
    <col min="18" max="18" width="14" style="1" customWidth="1"/>
    <col min="19" max="16384" width="9.140625" style="1"/>
  </cols>
  <sheetData>
    <row r="1" spans="1:18" ht="20.25" x14ac:dyDescent="0.3">
      <c r="A1" s="742" t="s">
        <v>0</v>
      </c>
      <c r="B1" s="742"/>
      <c r="C1" s="742"/>
      <c r="D1" s="742"/>
      <c r="E1" s="742"/>
      <c r="F1" s="742"/>
      <c r="G1" s="742"/>
      <c r="H1" s="742"/>
      <c r="I1" s="742"/>
      <c r="J1" s="742"/>
      <c r="K1" s="742"/>
      <c r="L1" s="742"/>
    </row>
    <row r="2" spans="1:18" ht="20.25" x14ac:dyDescent="0.3">
      <c r="A2" s="742" t="s">
        <v>159</v>
      </c>
      <c r="B2" s="742"/>
      <c r="C2" s="742"/>
      <c r="D2" s="742"/>
      <c r="E2" s="742"/>
      <c r="F2" s="742"/>
      <c r="G2" s="742"/>
      <c r="H2" s="742"/>
      <c r="I2" s="742"/>
      <c r="J2" s="742"/>
      <c r="K2" s="742"/>
      <c r="L2" s="742"/>
    </row>
    <row r="3" spans="1:18" ht="16.5" thickBot="1" x14ac:dyDescent="0.3">
      <c r="K3" s="20" t="s">
        <v>2</v>
      </c>
      <c r="L3" s="21">
        <f>Mon!L3+1</f>
        <v>46056</v>
      </c>
      <c r="N3" s="9" t="s">
        <v>3</v>
      </c>
      <c r="O3" s="5"/>
      <c r="P3" s="5"/>
      <c r="Q3" s="9" t="s">
        <v>4</v>
      </c>
      <c r="R3" s="5"/>
    </row>
    <row r="4" spans="1:18" s="5" customFormat="1" ht="15.75" thickBot="1" x14ac:dyDescent="0.3">
      <c r="A4" s="360" t="s">
        <v>5</v>
      </c>
      <c r="B4" s="361" t="s">
        <v>6</v>
      </c>
      <c r="C4" s="94" t="s">
        <v>4</v>
      </c>
      <c r="D4" s="94" t="s">
        <v>7</v>
      </c>
      <c r="E4" s="94" t="s">
        <v>8</v>
      </c>
      <c r="F4" s="6" t="s">
        <v>9</v>
      </c>
      <c r="G4" s="356" t="s">
        <v>10</v>
      </c>
      <c r="H4" s="447" t="s">
        <v>11</v>
      </c>
      <c r="I4" s="94" t="s">
        <v>12</v>
      </c>
      <c r="J4" s="6" t="s">
        <v>13</v>
      </c>
      <c r="K4" s="7" t="s">
        <v>14</v>
      </c>
      <c r="L4" s="6" t="s">
        <v>15</v>
      </c>
      <c r="N4" s="52"/>
      <c r="O4" s="41"/>
      <c r="P4" s="3"/>
      <c r="Q4" s="52" t="str">
        <f>A4</f>
        <v>BISTRO</v>
      </c>
      <c r="R4" s="32">
        <f>C8</f>
        <v>0</v>
      </c>
    </row>
    <row r="5" spans="1:18" s="5" customFormat="1" ht="15" thickBot="1" x14ac:dyDescent="0.25">
      <c r="A5" s="362"/>
      <c r="B5" s="52"/>
      <c r="C5" s="359"/>
      <c r="D5" s="359"/>
      <c r="E5" s="359"/>
      <c r="F5" s="24">
        <f>B5-(D5+L5)</f>
        <v>0</v>
      </c>
      <c r="G5" s="357"/>
      <c r="H5" s="448"/>
      <c r="I5" s="463"/>
      <c r="J5" s="31"/>
      <c r="K5" s="32">
        <f>SUM(I5+J5+H5+G5)-F5</f>
        <v>0</v>
      </c>
      <c r="L5" s="33"/>
      <c r="N5" s="53"/>
      <c r="O5" s="49"/>
      <c r="P5" s="3"/>
      <c r="Q5" s="53" t="str">
        <f>A11</f>
        <v>SPORTS BAR</v>
      </c>
      <c r="R5" s="24">
        <f>C15</f>
        <v>0</v>
      </c>
    </row>
    <row r="6" spans="1:18" s="5" customFormat="1" ht="15" thickBot="1" x14ac:dyDescent="0.25">
      <c r="A6" s="55"/>
      <c r="B6" s="22"/>
      <c r="C6" s="23"/>
      <c r="D6" s="23"/>
      <c r="E6" s="472"/>
      <c r="F6" s="25">
        <f>B6-(D6+L6)</f>
        <v>0</v>
      </c>
      <c r="G6" s="358"/>
      <c r="H6" s="449"/>
      <c r="I6" s="464"/>
      <c r="J6" s="34"/>
      <c r="K6" s="32">
        <f>SUM(I6+J6+H6+G6)-F6</f>
        <v>0</v>
      </c>
      <c r="L6" s="33"/>
      <c r="N6" s="54"/>
      <c r="O6" s="44"/>
      <c r="P6" s="3"/>
      <c r="Q6" s="53" t="s">
        <v>16</v>
      </c>
      <c r="R6" s="24">
        <f>C22+C28</f>
        <v>0</v>
      </c>
    </row>
    <row r="7" spans="1:18" s="5" customFormat="1" ht="15.75" thickBot="1" x14ac:dyDescent="0.3">
      <c r="A7" s="56"/>
      <c r="B7" s="22"/>
      <c r="C7" s="28"/>
      <c r="D7" s="28"/>
      <c r="E7" s="28"/>
      <c r="F7" s="26">
        <f>B7-(D7+L7)</f>
        <v>0</v>
      </c>
      <c r="G7" s="358"/>
      <c r="H7" s="449"/>
      <c r="I7" s="464"/>
      <c r="J7" s="37"/>
      <c r="K7" s="32">
        <f>SUM(I7+J7+H7+G7)-F7</f>
        <v>0</v>
      </c>
      <c r="L7" s="38"/>
      <c r="N7" s="4" t="s">
        <v>17</v>
      </c>
      <c r="O7" s="50">
        <f>O4+O5+O6</f>
        <v>0</v>
      </c>
      <c r="Q7" s="54" t="s">
        <v>18</v>
      </c>
      <c r="R7" s="36">
        <f>+C36+C42</f>
        <v>0</v>
      </c>
    </row>
    <row r="8" spans="1:18" s="5" customFormat="1" ht="15.75" thickBot="1" x14ac:dyDescent="0.3">
      <c r="A8" s="4" t="s">
        <v>19</v>
      </c>
      <c r="B8" s="30">
        <f>SUM(B5:B7)</f>
        <v>0</v>
      </c>
      <c r="C8" s="30">
        <f t="shared" ref="C8" si="0">SUM(C5:C7)</f>
        <v>0</v>
      </c>
      <c r="D8" s="30">
        <f t="shared" ref="D8:L8" si="1">SUM(D5:D7)</f>
        <v>0</v>
      </c>
      <c r="E8" s="30">
        <f t="shared" si="1"/>
        <v>0</v>
      </c>
      <c r="F8" s="30">
        <f t="shared" si="1"/>
        <v>0</v>
      </c>
      <c r="G8" s="30">
        <f t="shared" si="1"/>
        <v>0</v>
      </c>
      <c r="H8" s="450">
        <f t="shared" si="1"/>
        <v>0</v>
      </c>
      <c r="I8" s="465">
        <f t="shared" si="1"/>
        <v>0</v>
      </c>
      <c r="J8" s="48">
        <f t="shared" si="1"/>
        <v>0</v>
      </c>
      <c r="K8" s="32">
        <f>SUM(I8+J8+H8+G8)-F8</f>
        <v>0</v>
      </c>
      <c r="L8" s="30">
        <f t="shared" si="1"/>
        <v>0</v>
      </c>
      <c r="Q8" s="480" t="s">
        <v>20</v>
      </c>
      <c r="R8" s="455">
        <f>C57</f>
        <v>0</v>
      </c>
    </row>
    <row r="9" spans="1:18" s="5" customFormat="1" ht="15.75" thickBot="1" x14ac:dyDescent="0.3">
      <c r="A9" s="9"/>
      <c r="B9" s="60"/>
      <c r="C9" s="61"/>
      <c r="D9" s="61"/>
      <c r="E9" s="61"/>
      <c r="G9" s="8" t="s">
        <v>21</v>
      </c>
      <c r="J9" s="40">
        <f>SUM(I8+J8+H8+G8)-C8-E8</f>
        <v>0</v>
      </c>
      <c r="K9" s="462"/>
      <c r="L9" s="460"/>
      <c r="Q9" s="4" t="s">
        <v>17</v>
      </c>
      <c r="R9" s="468">
        <f>SUM(R4:R8)</f>
        <v>0</v>
      </c>
    </row>
    <row r="10" spans="1:18" s="5" customFormat="1" ht="15.75" thickBot="1" x14ac:dyDescent="0.3">
      <c r="K10" s="459"/>
      <c r="L10" s="459"/>
      <c r="M10" s="61"/>
      <c r="N10" s="9" t="s">
        <v>22</v>
      </c>
    </row>
    <row r="11" spans="1:18" s="5" customFormat="1" ht="15.75" thickBot="1" x14ac:dyDescent="0.3">
      <c r="A11" s="4" t="s">
        <v>23</v>
      </c>
      <c r="B11" s="6" t="s">
        <v>6</v>
      </c>
      <c r="C11" s="94" t="s">
        <v>4</v>
      </c>
      <c r="D11" s="94" t="s">
        <v>7</v>
      </c>
      <c r="E11" s="94" t="s">
        <v>8</v>
      </c>
      <c r="F11" s="6" t="s">
        <v>9</v>
      </c>
      <c r="G11" s="6" t="s">
        <v>10</v>
      </c>
      <c r="H11" s="447" t="s">
        <v>11</v>
      </c>
      <c r="I11" s="94" t="s">
        <v>12</v>
      </c>
      <c r="J11" s="6" t="s">
        <v>13</v>
      </c>
      <c r="K11" s="7" t="s">
        <v>14</v>
      </c>
      <c r="L11" s="6" t="s">
        <v>15</v>
      </c>
      <c r="N11" s="4" t="s">
        <v>24</v>
      </c>
      <c r="O11" s="58"/>
      <c r="Q11" s="14" t="s">
        <v>25</v>
      </c>
      <c r="R11" s="15"/>
    </row>
    <row r="12" spans="1:18" s="5" customFormat="1" ht="14.25" x14ac:dyDescent="0.2">
      <c r="A12" s="54"/>
      <c r="B12" s="31"/>
      <c r="C12" s="41"/>
      <c r="D12" s="41"/>
      <c r="E12" s="43"/>
      <c r="F12" s="42">
        <f>B12-(D12+L12)</f>
        <v>0</v>
      </c>
      <c r="G12" s="43"/>
      <c r="H12" s="448"/>
      <c r="I12" s="463"/>
      <c r="J12" s="31"/>
      <c r="K12" s="32">
        <f>SUM(I12+J12+H12+G12)-F12</f>
        <v>0</v>
      </c>
      <c r="L12" s="43"/>
      <c r="N12" s="11" t="s">
        <v>26</v>
      </c>
      <c r="O12" s="57"/>
      <c r="Q12" s="16" t="s">
        <v>27</v>
      </c>
      <c r="R12" s="246"/>
    </row>
    <row r="13" spans="1:18" s="5" customFormat="1" ht="14.25" x14ac:dyDescent="0.2">
      <c r="A13" s="54"/>
      <c r="B13" s="35"/>
      <c r="C13" s="44"/>
      <c r="D13" s="44"/>
      <c r="E13" s="46"/>
      <c r="F13" s="45">
        <f>B13-(D13+L13)</f>
        <v>0</v>
      </c>
      <c r="G13" s="46"/>
      <c r="H13" s="449"/>
      <c r="I13" s="464"/>
      <c r="J13" s="35"/>
      <c r="K13" s="24">
        <f>SUM(I13+J13+H13+G13)-F13</f>
        <v>0</v>
      </c>
      <c r="L13" s="46"/>
      <c r="N13" s="2" t="s">
        <v>28</v>
      </c>
      <c r="O13" s="46"/>
      <c r="Q13" s="17" t="s">
        <v>29</v>
      </c>
      <c r="R13" s="247"/>
    </row>
    <row r="14" spans="1:18" s="5" customFormat="1" ht="15" thickBot="1" x14ac:dyDescent="0.25">
      <c r="A14" s="54"/>
      <c r="B14" s="35"/>
      <c r="C14" s="44"/>
      <c r="D14" s="44"/>
      <c r="E14" s="46"/>
      <c r="F14" s="45">
        <f>B14-(D14+L14)</f>
        <v>0</v>
      </c>
      <c r="G14" s="46"/>
      <c r="H14" s="449"/>
      <c r="I14" s="464"/>
      <c r="J14" s="35"/>
      <c r="K14" s="24">
        <f>SUM(I14+J14+H14+G14)-F14</f>
        <v>0</v>
      </c>
      <c r="L14" s="46"/>
      <c r="N14" s="13" t="s">
        <v>30</v>
      </c>
      <c r="O14" s="38"/>
      <c r="Q14" s="2" t="s">
        <v>31</v>
      </c>
      <c r="R14" s="36">
        <f>R12-R13</f>
        <v>0</v>
      </c>
    </row>
    <row r="15" spans="1:18" s="5" customFormat="1" ht="15.75" thickBot="1" x14ac:dyDescent="0.3">
      <c r="A15" s="4" t="s">
        <v>19</v>
      </c>
      <c r="B15" s="47">
        <f t="shared" ref="B15:L15" si="2">SUM(B12:B14)</f>
        <v>0</v>
      </c>
      <c r="C15" s="30">
        <f t="shared" ref="C15" si="3">SUM(C12:C14)</f>
        <v>0</v>
      </c>
      <c r="D15" s="30">
        <f t="shared" si="2"/>
        <v>0</v>
      </c>
      <c r="E15" s="30">
        <f t="shared" si="2"/>
        <v>0</v>
      </c>
      <c r="F15" s="29">
        <f t="shared" si="2"/>
        <v>0</v>
      </c>
      <c r="G15" s="30">
        <f t="shared" si="2"/>
        <v>0</v>
      </c>
      <c r="H15" s="450">
        <f t="shared" si="2"/>
        <v>0</v>
      </c>
      <c r="I15" s="465">
        <f t="shared" si="2"/>
        <v>0</v>
      </c>
      <c r="J15" s="30">
        <f t="shared" si="2"/>
        <v>0</v>
      </c>
      <c r="K15" s="30">
        <f t="shared" si="2"/>
        <v>0</v>
      </c>
      <c r="L15" s="48">
        <f t="shared" si="2"/>
        <v>0</v>
      </c>
      <c r="N15" s="4" t="s">
        <v>17</v>
      </c>
      <c r="O15" s="39">
        <f>SUM(O12:O14)</f>
        <v>0</v>
      </c>
      <c r="Q15" s="17" t="s">
        <v>32</v>
      </c>
      <c r="R15" s="247"/>
    </row>
    <row r="16" spans="1:18" s="5" customFormat="1" ht="15.75" thickBot="1" x14ac:dyDescent="0.3">
      <c r="A16" s="9"/>
      <c r="B16" s="60"/>
      <c r="C16" s="61"/>
      <c r="D16" s="61"/>
      <c r="E16" s="61"/>
      <c r="G16" s="8" t="s">
        <v>33</v>
      </c>
      <c r="J16" s="40">
        <f>SUM(I15+J15+H15+G15)-C15-E15</f>
        <v>0</v>
      </c>
      <c r="K16" s="9"/>
      <c r="L16" s="3"/>
      <c r="N16" s="4" t="s">
        <v>34</v>
      </c>
      <c r="O16" s="59"/>
      <c r="Q16" s="17" t="s">
        <v>35</v>
      </c>
      <c r="R16" s="247"/>
    </row>
    <row r="17" spans="1:18" s="5" customFormat="1" ht="15" thickBot="1" x14ac:dyDescent="0.25">
      <c r="N17" s="11" t="s">
        <v>26</v>
      </c>
      <c r="O17" s="57"/>
      <c r="Q17" s="18" t="s">
        <v>36</v>
      </c>
      <c r="R17" s="248"/>
    </row>
    <row r="18" spans="1:18" s="5" customFormat="1" ht="15.75" thickBot="1" x14ac:dyDescent="0.3">
      <c r="A18" s="360" t="s">
        <v>37</v>
      </c>
      <c r="B18" s="6" t="s">
        <v>6</v>
      </c>
      <c r="C18" s="94" t="s">
        <v>4</v>
      </c>
      <c r="D18" s="94" t="s">
        <v>7</v>
      </c>
      <c r="E18" s="94" t="s">
        <v>8</v>
      </c>
      <c r="F18" s="6" t="s">
        <v>9</v>
      </c>
      <c r="G18" s="6" t="s">
        <v>10</v>
      </c>
      <c r="H18" s="447" t="s">
        <v>11</v>
      </c>
      <c r="I18" s="94" t="s">
        <v>12</v>
      </c>
      <c r="J18" s="6" t="s">
        <v>13</v>
      </c>
      <c r="K18" s="7" t="s">
        <v>14</v>
      </c>
      <c r="L18" s="6" t="s">
        <v>15</v>
      </c>
      <c r="M18" s="61"/>
      <c r="N18" s="2" t="s">
        <v>28</v>
      </c>
      <c r="O18" s="46"/>
      <c r="Q18" s="10" t="s">
        <v>38</v>
      </c>
      <c r="R18" s="27"/>
    </row>
    <row r="19" spans="1:18" s="5" customFormat="1" ht="15.75" thickBot="1" x14ac:dyDescent="0.3">
      <c r="A19" s="52"/>
      <c r="B19" s="31"/>
      <c r="C19" s="41"/>
      <c r="D19" s="41"/>
      <c r="E19" s="43"/>
      <c r="F19" s="42">
        <f>B19-(D19+L19)</f>
        <v>0</v>
      </c>
      <c r="G19" s="43"/>
      <c r="H19" s="448"/>
      <c r="I19" s="463"/>
      <c r="J19" s="31"/>
      <c r="K19" s="32">
        <f>SUM(I19+J19+H19+G19)-F19</f>
        <v>0</v>
      </c>
      <c r="L19" s="43"/>
      <c r="N19" s="13" t="s">
        <v>30</v>
      </c>
      <c r="O19" s="38"/>
      <c r="Q19" s="91" t="s">
        <v>39</v>
      </c>
      <c r="R19" s="249">
        <f>R12-R15-R17-R18</f>
        <v>0</v>
      </c>
    </row>
    <row r="20" spans="1:18" s="5" customFormat="1" ht="15.75" thickBot="1" x14ac:dyDescent="0.3">
      <c r="A20" s="54"/>
      <c r="B20" s="35"/>
      <c r="C20" s="44"/>
      <c r="D20" s="44"/>
      <c r="E20" s="46"/>
      <c r="F20" s="45">
        <f>B20-(D20+L20)</f>
        <v>0</v>
      </c>
      <c r="G20" s="46"/>
      <c r="H20" s="449"/>
      <c r="I20" s="464"/>
      <c r="J20" s="35"/>
      <c r="K20" s="24">
        <f>SUM(I20+J20+H20+G20)-F20</f>
        <v>0</v>
      </c>
      <c r="L20" s="46"/>
      <c r="N20" s="4" t="s">
        <v>17</v>
      </c>
      <c r="O20" s="39">
        <f>SUM(O17:O19)</f>
        <v>0</v>
      </c>
      <c r="Q20" s="19" t="s">
        <v>40</v>
      </c>
      <c r="R20" s="250"/>
    </row>
    <row r="21" spans="1:18" s="5" customFormat="1" ht="15" thickBot="1" x14ac:dyDescent="0.25">
      <c r="A21" s="332"/>
      <c r="B21" s="37"/>
      <c r="C21" s="27"/>
      <c r="D21" s="27"/>
      <c r="E21" s="334"/>
      <c r="F21" s="333">
        <f>B21-(D21+L21)</f>
        <v>0</v>
      </c>
      <c r="G21" s="334"/>
      <c r="H21" s="451"/>
      <c r="I21" s="466"/>
      <c r="J21" s="37"/>
      <c r="K21" s="335">
        <f>SUM(I21+J21+H21+G21)-F21</f>
        <v>0</v>
      </c>
      <c r="L21" s="334"/>
    </row>
    <row r="22" spans="1:18" s="5" customFormat="1" ht="15.75" thickBot="1" x14ac:dyDescent="0.3">
      <c r="A22" s="4" t="s">
        <v>19</v>
      </c>
      <c r="B22" s="47">
        <f>SUM(B19:B21)</f>
        <v>0</v>
      </c>
      <c r="C22" s="47">
        <f t="shared" ref="C22" si="4">SUM(C19:C21)</f>
        <v>0</v>
      </c>
      <c r="D22" s="47">
        <f t="shared" ref="D22:L22" si="5">SUM(D19:D21)</f>
        <v>0</v>
      </c>
      <c r="E22" s="47">
        <f t="shared" si="5"/>
        <v>0</v>
      </c>
      <c r="F22" s="47">
        <f t="shared" si="5"/>
        <v>0</v>
      </c>
      <c r="G22" s="47">
        <f t="shared" si="5"/>
        <v>0</v>
      </c>
      <c r="H22" s="452">
        <f t="shared" si="5"/>
        <v>0</v>
      </c>
      <c r="I22" s="467">
        <f t="shared" si="5"/>
        <v>0</v>
      </c>
      <c r="J22" s="47">
        <f t="shared" si="5"/>
        <v>0</v>
      </c>
      <c r="K22" s="47">
        <f t="shared" si="5"/>
        <v>0</v>
      </c>
      <c r="L22" s="30">
        <f t="shared" si="5"/>
        <v>0</v>
      </c>
      <c r="N22" s="9" t="s">
        <v>10</v>
      </c>
    </row>
    <row r="23" spans="1:18" s="5" customFormat="1" ht="15.75" thickBot="1" x14ac:dyDescent="0.3">
      <c r="A23" s="9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N23" s="62" t="str">
        <f>A11</f>
        <v>SPORTS BAR</v>
      </c>
      <c r="O23" s="63">
        <f>G15</f>
        <v>0</v>
      </c>
      <c r="Q23" s="9" t="s">
        <v>19</v>
      </c>
    </row>
    <row r="24" spans="1:18" s="5" customFormat="1" ht="15.75" thickBot="1" x14ac:dyDescent="0.3">
      <c r="A24" s="4" t="s">
        <v>41</v>
      </c>
      <c r="B24" s="6" t="s">
        <v>6</v>
      </c>
      <c r="C24" s="94" t="s">
        <v>4</v>
      </c>
      <c r="D24" s="94" t="s">
        <v>7</v>
      </c>
      <c r="E24" s="94" t="s">
        <v>8</v>
      </c>
      <c r="F24" s="6" t="s">
        <v>9</v>
      </c>
      <c r="G24" s="6" t="s">
        <v>10</v>
      </c>
      <c r="H24" s="447" t="s">
        <v>11</v>
      </c>
      <c r="I24" s="94" t="s">
        <v>12</v>
      </c>
      <c r="J24" s="6" t="s">
        <v>13</v>
      </c>
      <c r="K24" s="7" t="s">
        <v>14</v>
      </c>
      <c r="L24" s="6" t="s">
        <v>15</v>
      </c>
      <c r="N24" s="12" t="str">
        <f>A4</f>
        <v>BISTRO</v>
      </c>
      <c r="O24" s="51">
        <f>G8</f>
        <v>0</v>
      </c>
      <c r="Q24" s="458" t="s">
        <v>42</v>
      </c>
      <c r="R24" s="456">
        <f>SUM(J29,J51,O7,J43,J16,J9,R19,J58,R9)</f>
        <v>0</v>
      </c>
    </row>
    <row r="25" spans="1:18" s="5" customFormat="1" ht="14.25" x14ac:dyDescent="0.2">
      <c r="A25" s="54"/>
      <c r="B25" s="35"/>
      <c r="C25" s="44"/>
      <c r="D25" s="44"/>
      <c r="E25" s="46"/>
      <c r="F25" s="45">
        <f>B25-(D25+L25)</f>
        <v>0</v>
      </c>
      <c r="G25" s="46"/>
      <c r="H25" s="449"/>
      <c r="I25" s="464"/>
      <c r="J25" s="35"/>
      <c r="K25" s="24">
        <f>SUM(I25+J25+H25+G25)-F25</f>
        <v>0</v>
      </c>
      <c r="L25" s="46"/>
      <c r="N25" s="508" t="s">
        <v>43</v>
      </c>
      <c r="O25" s="509">
        <f>G50</f>
        <v>0</v>
      </c>
      <c r="Q25" s="2" t="s">
        <v>44</v>
      </c>
      <c r="R25" s="45">
        <f>ROUND(+R24/11,2)</f>
        <v>0</v>
      </c>
    </row>
    <row r="26" spans="1:18" s="5" customFormat="1" ht="14.25" x14ac:dyDescent="0.2">
      <c r="A26" s="54"/>
      <c r="B26" s="35"/>
      <c r="C26" s="44"/>
      <c r="D26" s="44"/>
      <c r="E26" s="46"/>
      <c r="F26" s="45">
        <f>B26-(D26+L26)</f>
        <v>0</v>
      </c>
      <c r="G26" s="46"/>
      <c r="H26" s="449"/>
      <c r="I26" s="464"/>
      <c r="J26" s="35"/>
      <c r="K26" s="24">
        <f>SUM(I26+J26+H26+G26)-F26</f>
        <v>0</v>
      </c>
      <c r="L26" s="46"/>
      <c r="M26" s="61"/>
      <c r="N26" s="12" t="s">
        <v>37</v>
      </c>
      <c r="O26" s="51">
        <f>G22</f>
        <v>0</v>
      </c>
      <c r="Q26" s="2" t="s">
        <v>45</v>
      </c>
      <c r="R26" s="46">
        <f>R39</f>
        <v>0</v>
      </c>
    </row>
    <row r="27" spans="1:18" s="5" customFormat="1" ht="15" thickBot="1" x14ac:dyDescent="0.25">
      <c r="A27" s="54"/>
      <c r="B27" s="35"/>
      <c r="C27" s="44"/>
      <c r="D27" s="44"/>
      <c r="E27" s="46"/>
      <c r="F27" s="45">
        <f>B27-(D27+L27)</f>
        <v>0</v>
      </c>
      <c r="G27" s="46"/>
      <c r="H27" s="449"/>
      <c r="I27" s="464"/>
      <c r="J27" s="35"/>
      <c r="K27" s="24">
        <f>SUM(I27+J27+H27+G27)-F27</f>
        <v>0</v>
      </c>
      <c r="L27" s="46"/>
      <c r="N27" s="12" t="s">
        <v>46</v>
      </c>
      <c r="O27" s="51">
        <f>G28</f>
        <v>0</v>
      </c>
      <c r="Q27" s="13" t="s">
        <v>12</v>
      </c>
      <c r="R27" s="46">
        <f>I57+I42+I36+I28+I22+I15+I8</f>
        <v>0</v>
      </c>
    </row>
    <row r="28" spans="1:18" s="5" customFormat="1" ht="15.75" thickBot="1" x14ac:dyDescent="0.3">
      <c r="A28" s="4" t="s">
        <v>19</v>
      </c>
      <c r="B28" s="47">
        <f>SUM(B25:B27)</f>
        <v>0</v>
      </c>
      <c r="C28" s="47">
        <f t="shared" ref="C28" si="6">SUM(C25:C27)</f>
        <v>0</v>
      </c>
      <c r="D28" s="47">
        <f t="shared" ref="D28:L28" si="7">SUM(D25:D27)</f>
        <v>0</v>
      </c>
      <c r="E28" s="47">
        <f t="shared" si="7"/>
        <v>0</v>
      </c>
      <c r="F28" s="47">
        <f t="shared" si="7"/>
        <v>0</v>
      </c>
      <c r="G28" s="47">
        <f t="shared" si="7"/>
        <v>0</v>
      </c>
      <c r="H28" s="452">
        <f t="shared" si="7"/>
        <v>0</v>
      </c>
      <c r="I28" s="467">
        <f t="shared" si="7"/>
        <v>0</v>
      </c>
      <c r="J28" s="47">
        <f t="shared" si="7"/>
        <v>0</v>
      </c>
      <c r="K28" s="47">
        <f t="shared" si="7"/>
        <v>0</v>
      </c>
      <c r="L28" s="30">
        <f t="shared" si="7"/>
        <v>0</v>
      </c>
      <c r="N28" s="12" t="s">
        <v>47</v>
      </c>
      <c r="O28" s="51">
        <f>G36</f>
        <v>0</v>
      </c>
      <c r="Q28" s="10" t="s">
        <v>10</v>
      </c>
      <c r="R28" s="45">
        <f>O31</f>
        <v>0</v>
      </c>
    </row>
    <row r="29" spans="1:18" s="5" customFormat="1" ht="15.75" thickBot="1" x14ac:dyDescent="0.3">
      <c r="A29" s="9"/>
      <c r="B29" s="60"/>
      <c r="C29" s="61"/>
      <c r="D29" s="61"/>
      <c r="E29" s="61"/>
      <c r="G29" s="8" t="s">
        <v>48</v>
      </c>
      <c r="J29" s="40">
        <f>SUM(G22+H22+I22+J22)+(I28+J28+H28+G28)-C28-E28-C22-E22</f>
        <v>0</v>
      </c>
      <c r="K29" s="9"/>
      <c r="L29" s="3"/>
      <c r="N29" s="12" t="s">
        <v>49</v>
      </c>
      <c r="O29" s="51">
        <f>G42</f>
        <v>0</v>
      </c>
      <c r="Q29" s="457" t="s">
        <v>50</v>
      </c>
      <c r="R29" s="440">
        <f>R24-(R28+R26+R27)</f>
        <v>0</v>
      </c>
    </row>
    <row r="30" spans="1:18" s="5" customFormat="1" ht="15.75" thickBot="1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N30" s="510" t="s">
        <v>5</v>
      </c>
      <c r="O30" s="511">
        <f>G57</f>
        <v>0</v>
      </c>
    </row>
    <row r="31" spans="1:18" s="5" customFormat="1" ht="15.75" thickBot="1" x14ac:dyDescent="0.3">
      <c r="A31" s="9" t="s">
        <v>51</v>
      </c>
      <c r="N31" s="363" t="s">
        <v>17</v>
      </c>
      <c r="O31" s="30">
        <f>SUM(O23:O30)</f>
        <v>0</v>
      </c>
      <c r="Q31" s="4" t="s">
        <v>52</v>
      </c>
      <c r="R31" s="48">
        <f>J8+J15+J22+J28+J36+J42+J50+J57</f>
        <v>0</v>
      </c>
    </row>
    <row r="32" spans="1:18" s="5" customFormat="1" ht="15.75" thickBot="1" x14ac:dyDescent="0.3">
      <c r="A32" s="4" t="s">
        <v>47</v>
      </c>
      <c r="B32" s="6" t="s">
        <v>6</v>
      </c>
      <c r="C32" s="94" t="s">
        <v>4</v>
      </c>
      <c r="D32" s="94" t="s">
        <v>7</v>
      </c>
      <c r="E32" s="94" t="s">
        <v>8</v>
      </c>
      <c r="F32" s="6" t="s">
        <v>9</v>
      </c>
      <c r="G32" s="6" t="s">
        <v>10</v>
      </c>
      <c r="H32" s="447" t="s">
        <v>11</v>
      </c>
      <c r="I32" s="94" t="s">
        <v>12</v>
      </c>
      <c r="J32" s="6" t="s">
        <v>13</v>
      </c>
      <c r="K32" s="336" t="s">
        <v>14</v>
      </c>
      <c r="L32" s="6" t="s">
        <v>15</v>
      </c>
    </row>
    <row r="33" spans="1:18" s="5" customFormat="1" ht="15.75" thickBot="1" x14ac:dyDescent="0.3">
      <c r="A33" s="54"/>
      <c r="B33" s="35"/>
      <c r="C33" s="44"/>
      <c r="D33" s="44"/>
      <c r="E33" s="46"/>
      <c r="F33" s="45">
        <f>B33-(D33+L33)</f>
        <v>0</v>
      </c>
      <c r="G33" s="46"/>
      <c r="H33" s="449"/>
      <c r="I33" s="464"/>
      <c r="J33" s="35"/>
      <c r="K33" s="32">
        <f>SUM(I33+J33+H33+G33)-F33</f>
        <v>0</v>
      </c>
      <c r="L33" s="46"/>
      <c r="Q33" s="4" t="s">
        <v>53</v>
      </c>
      <c r="R33" s="420"/>
    </row>
    <row r="34" spans="1:18" s="5" customFormat="1" ht="14.25" x14ac:dyDescent="0.2">
      <c r="A34" s="54"/>
      <c r="B34" s="35"/>
      <c r="C34" s="44"/>
      <c r="D34" s="44"/>
      <c r="E34" s="46"/>
      <c r="F34" s="45">
        <f>B34-(D34+L34)</f>
        <v>0</v>
      </c>
      <c r="G34" s="46"/>
      <c r="H34" s="449"/>
      <c r="I34" s="464"/>
      <c r="J34" s="35"/>
      <c r="K34" s="36">
        <f>SUM(I34+J34+H34+G34)-F34</f>
        <v>0</v>
      </c>
      <c r="L34" s="46"/>
    </row>
    <row r="35" spans="1:18" s="5" customFormat="1" ht="15" thickBot="1" x14ac:dyDescent="0.25">
      <c r="A35" s="54"/>
      <c r="B35" s="35"/>
      <c r="C35" s="44"/>
      <c r="D35" s="44"/>
      <c r="E35" s="46"/>
      <c r="F35" s="45">
        <f>B35-(D35+L35)</f>
        <v>0</v>
      </c>
      <c r="G35" s="46"/>
      <c r="H35" s="449"/>
      <c r="I35" s="464"/>
      <c r="J35" s="35"/>
      <c r="K35" s="338">
        <f>SUM(I35+J35+H35+G35)-F35</f>
        <v>0</v>
      </c>
      <c r="L35" s="46"/>
      <c r="M35" s="61"/>
    </row>
    <row r="36" spans="1:18" s="5" customFormat="1" ht="15.75" thickBot="1" x14ac:dyDescent="0.3">
      <c r="A36" s="4" t="s">
        <v>19</v>
      </c>
      <c r="B36" s="47">
        <f>SUM(B33:B35)</f>
        <v>0</v>
      </c>
      <c r="C36" s="47">
        <f t="shared" ref="C36" si="8">SUM(C33:C35)</f>
        <v>0</v>
      </c>
      <c r="D36" s="47">
        <f t="shared" ref="D36:L36" si="9">SUM(D33:D35)</f>
        <v>0</v>
      </c>
      <c r="E36" s="47">
        <f t="shared" si="9"/>
        <v>0</v>
      </c>
      <c r="F36" s="47">
        <f t="shared" si="9"/>
        <v>0</v>
      </c>
      <c r="G36" s="47">
        <f t="shared" si="9"/>
        <v>0</v>
      </c>
      <c r="H36" s="452">
        <f t="shared" si="9"/>
        <v>0</v>
      </c>
      <c r="I36" s="467">
        <f t="shared" si="9"/>
        <v>0</v>
      </c>
      <c r="J36" s="47">
        <f t="shared" si="9"/>
        <v>0</v>
      </c>
      <c r="K36" s="337">
        <f t="shared" si="9"/>
        <v>0</v>
      </c>
      <c r="L36" s="30">
        <f t="shared" si="9"/>
        <v>0</v>
      </c>
      <c r="Q36" s="743" t="s">
        <v>54</v>
      </c>
      <c r="R36" s="744"/>
    </row>
    <row r="37" spans="1:18" s="5" customFormat="1" ht="15" thickBot="1" x14ac:dyDescent="0.25">
      <c r="A37" s="3"/>
      <c r="B37" s="331"/>
      <c r="C37" s="331"/>
      <c r="D37" s="331"/>
      <c r="E37" s="331"/>
      <c r="F37" s="61"/>
      <c r="G37" s="331"/>
      <c r="H37" s="331"/>
      <c r="I37" s="331"/>
      <c r="J37" s="331"/>
      <c r="K37" s="61"/>
      <c r="L37" s="331"/>
      <c r="Q37" s="512" t="s">
        <v>55</v>
      </c>
      <c r="R37" s="506"/>
    </row>
    <row r="38" spans="1:18" s="5" customFormat="1" ht="15.75" thickBot="1" x14ac:dyDescent="0.3">
      <c r="A38" s="4" t="s">
        <v>49</v>
      </c>
      <c r="B38" s="6" t="s">
        <v>6</v>
      </c>
      <c r="C38" s="94" t="s">
        <v>4</v>
      </c>
      <c r="D38" s="94" t="s">
        <v>7</v>
      </c>
      <c r="E38" s="94" t="s">
        <v>8</v>
      </c>
      <c r="F38" s="6" t="s">
        <v>9</v>
      </c>
      <c r="G38" s="6" t="s">
        <v>10</v>
      </c>
      <c r="H38" s="447" t="s">
        <v>11</v>
      </c>
      <c r="I38" s="94" t="s">
        <v>12</v>
      </c>
      <c r="J38" s="6" t="s">
        <v>13</v>
      </c>
      <c r="K38" s="7" t="s">
        <v>14</v>
      </c>
      <c r="L38" s="6" t="s">
        <v>15</v>
      </c>
      <c r="Q38" s="513" t="s">
        <v>56</v>
      </c>
      <c r="R38" s="507"/>
    </row>
    <row r="39" spans="1:18" s="5" customFormat="1" ht="15.75" thickBot="1" x14ac:dyDescent="0.3">
      <c r="A39" s="54"/>
      <c r="B39" s="35"/>
      <c r="C39" s="44"/>
      <c r="D39" s="44"/>
      <c r="E39" s="46"/>
      <c r="F39" s="45">
        <f>B39-(D39+L39)</f>
        <v>0</v>
      </c>
      <c r="G39" s="46"/>
      <c r="H39" s="449"/>
      <c r="I39" s="464"/>
      <c r="J39" s="35"/>
      <c r="K39" s="24">
        <f>SUM(I39+J39+H39+G39)-F39</f>
        <v>0</v>
      </c>
      <c r="L39" s="46"/>
      <c r="Q39" s="6" t="s">
        <v>17</v>
      </c>
      <c r="R39" s="505">
        <f>SUM(R37:R38)</f>
        <v>0</v>
      </c>
    </row>
    <row r="40" spans="1:18" s="5" customFormat="1" ht="14.25" x14ac:dyDescent="0.2">
      <c r="A40" s="54"/>
      <c r="B40" s="35"/>
      <c r="C40" s="44"/>
      <c r="D40" s="44"/>
      <c r="E40" s="46"/>
      <c r="F40" s="45">
        <f>B40-(D40+L40)</f>
        <v>0</v>
      </c>
      <c r="G40" s="46"/>
      <c r="H40" s="449"/>
      <c r="I40" s="464"/>
      <c r="J40" s="35"/>
      <c r="K40" s="24">
        <f>SUM(I40+J40+H40+G40)-F40</f>
        <v>0</v>
      </c>
      <c r="L40" s="46"/>
    </row>
    <row r="41" spans="1:18" s="5" customFormat="1" ht="15" thickBot="1" x14ac:dyDescent="0.25">
      <c r="A41" s="54"/>
      <c r="B41" s="35"/>
      <c r="C41" s="44"/>
      <c r="D41" s="44"/>
      <c r="E41" s="46"/>
      <c r="F41" s="45">
        <f>B41-(D41+L41)</f>
        <v>0</v>
      </c>
      <c r="G41" s="46"/>
      <c r="H41" s="449"/>
      <c r="I41" s="464"/>
      <c r="J41" s="35"/>
      <c r="K41" s="24">
        <f>SUM(I41+J41+H41+G41)-F41</f>
        <v>0</v>
      </c>
      <c r="L41" s="46"/>
    </row>
    <row r="42" spans="1:18" s="5" customFormat="1" ht="15.75" thickBot="1" x14ac:dyDescent="0.3">
      <c r="A42" s="4" t="s">
        <v>19</v>
      </c>
      <c r="B42" s="47">
        <f>SUM(B39:B41)</f>
        <v>0</v>
      </c>
      <c r="C42" s="47">
        <f t="shared" ref="C42" si="10">SUM(C39:C41)</f>
        <v>0</v>
      </c>
      <c r="D42" s="47">
        <f t="shared" ref="D42:L42" si="11">SUM(D39:D41)</f>
        <v>0</v>
      </c>
      <c r="E42" s="47">
        <f t="shared" si="11"/>
        <v>0</v>
      </c>
      <c r="F42" s="47">
        <f t="shared" si="11"/>
        <v>0</v>
      </c>
      <c r="G42" s="47">
        <f t="shared" si="11"/>
        <v>0</v>
      </c>
      <c r="H42" s="452">
        <f t="shared" si="11"/>
        <v>0</v>
      </c>
      <c r="I42" s="467">
        <f t="shared" si="11"/>
        <v>0</v>
      </c>
      <c r="J42" s="47">
        <f t="shared" si="11"/>
        <v>0</v>
      </c>
      <c r="K42" s="47">
        <f t="shared" si="11"/>
        <v>0</v>
      </c>
      <c r="L42" s="30">
        <f t="shared" si="11"/>
        <v>0</v>
      </c>
    </row>
    <row r="43" spans="1:18" s="5" customFormat="1" ht="15.75" thickBot="1" x14ac:dyDescent="0.3">
      <c r="A43" s="9"/>
      <c r="B43" s="60"/>
      <c r="C43" s="61"/>
      <c r="D43" s="61"/>
      <c r="E43" s="61"/>
      <c r="G43" s="8" t="s">
        <v>57</v>
      </c>
      <c r="J43" s="40">
        <f>SUM(G36+H36+I36+J36)+(I42+J42+H42+G42)-C36-C42-E36-E42</f>
        <v>0</v>
      </c>
      <c r="K43" s="9"/>
      <c r="L43" s="3"/>
      <c r="M43" s="61"/>
    </row>
    <row r="44" spans="1:18" s="5" customFormat="1" ht="14.25" x14ac:dyDescent="0.2"/>
    <row r="45" spans="1:18" s="5" customFormat="1" ht="15.75" hidden="1" thickBot="1" x14ac:dyDescent="0.3">
      <c r="A45" s="478" t="s">
        <v>58</v>
      </c>
      <c r="B45" s="447" t="s">
        <v>6</v>
      </c>
      <c r="C45" s="454" t="s">
        <v>7</v>
      </c>
      <c r="D45" s="473" t="s">
        <v>7</v>
      </c>
      <c r="E45" s="473" t="s">
        <v>8</v>
      </c>
      <c r="F45" s="447" t="s">
        <v>9</v>
      </c>
      <c r="G45" s="447" t="s">
        <v>10</v>
      </c>
      <c r="H45" s="447" t="s">
        <v>11</v>
      </c>
      <c r="I45" s="473" t="s">
        <v>12</v>
      </c>
      <c r="J45" s="447" t="s">
        <v>13</v>
      </c>
      <c r="K45" s="479" t="s">
        <v>14</v>
      </c>
      <c r="L45" s="447" t="s">
        <v>15</v>
      </c>
    </row>
    <row r="46" spans="1:18" s="5" customFormat="1" ht="14.25" hidden="1" x14ac:dyDescent="0.2">
      <c r="A46" s="480"/>
      <c r="B46" s="481"/>
      <c r="C46" s="455"/>
      <c r="D46" s="482"/>
      <c r="E46" s="483"/>
      <c r="F46" s="449">
        <f>B46-(D46+L46)</f>
        <v>0</v>
      </c>
      <c r="G46" s="483"/>
      <c r="H46" s="449"/>
      <c r="I46" s="474"/>
      <c r="J46" s="481"/>
      <c r="K46" s="484">
        <f>SUM(I46+J46+H46+G46)-F46</f>
        <v>0</v>
      </c>
      <c r="L46" s="483"/>
    </row>
    <row r="47" spans="1:18" s="5" customFormat="1" ht="14.25" hidden="1" x14ac:dyDescent="0.2">
      <c r="A47" s="480"/>
      <c r="B47" s="481"/>
      <c r="C47" s="455"/>
      <c r="D47" s="482"/>
      <c r="E47" s="483"/>
      <c r="F47" s="449">
        <f>B47-(D47+L47)</f>
        <v>0</v>
      </c>
      <c r="G47" s="483"/>
      <c r="H47" s="449"/>
      <c r="I47" s="474"/>
      <c r="J47" s="481"/>
      <c r="K47" s="485">
        <f>SUM(I47+J47+H47+G47)-F47</f>
        <v>0</v>
      </c>
      <c r="L47" s="483"/>
    </row>
    <row r="48" spans="1:18" s="5" customFormat="1" ht="14.25" hidden="1" x14ac:dyDescent="0.2">
      <c r="A48" s="480"/>
      <c r="B48" s="481"/>
      <c r="C48" s="455"/>
      <c r="D48" s="482"/>
      <c r="E48" s="483"/>
      <c r="F48" s="449">
        <f>B48-(D48+L48)</f>
        <v>0</v>
      </c>
      <c r="G48" s="483"/>
      <c r="H48" s="449"/>
      <c r="I48" s="474"/>
      <c r="J48" s="481"/>
      <c r="K48" s="485">
        <f>SUM(I48+J48+H48+G48)-F48</f>
        <v>0</v>
      </c>
      <c r="L48" s="483"/>
    </row>
    <row r="49" spans="1:12" s="5" customFormat="1" ht="15" hidden="1" thickBot="1" x14ac:dyDescent="0.25">
      <c r="A49" s="480"/>
      <c r="B49" s="481"/>
      <c r="C49" s="455"/>
      <c r="D49" s="482"/>
      <c r="E49" s="483"/>
      <c r="F49" s="449">
        <f>B49-(D49+L49)</f>
        <v>0</v>
      </c>
      <c r="G49" s="483"/>
      <c r="H49" s="449"/>
      <c r="I49" s="474"/>
      <c r="J49" s="481"/>
      <c r="K49" s="485">
        <f>SUM(I49+J49+H49+G49)-F49</f>
        <v>0</v>
      </c>
      <c r="L49" s="483"/>
    </row>
    <row r="50" spans="1:12" s="5" customFormat="1" ht="15.75" hidden="1" thickBot="1" x14ac:dyDescent="0.3">
      <c r="A50" s="478" t="s">
        <v>19</v>
      </c>
      <c r="B50" s="452">
        <f t="shared" ref="B50:L50" si="12">SUM(B46:B49)</f>
        <v>0</v>
      </c>
      <c r="C50" s="450">
        <f t="shared" ref="C50" si="13">SUM(C46:C49)</f>
        <v>0</v>
      </c>
      <c r="D50" s="450">
        <f t="shared" si="12"/>
        <v>0</v>
      </c>
      <c r="E50" s="450">
        <f t="shared" si="12"/>
        <v>0</v>
      </c>
      <c r="F50" s="453">
        <f t="shared" si="12"/>
        <v>0</v>
      </c>
      <c r="G50" s="450">
        <f t="shared" si="12"/>
        <v>0</v>
      </c>
      <c r="H50" s="453">
        <f t="shared" si="12"/>
        <v>0</v>
      </c>
      <c r="I50" s="450">
        <f>SUM(I46:I49)</f>
        <v>0</v>
      </c>
      <c r="J50" s="450">
        <f t="shared" si="12"/>
        <v>0</v>
      </c>
      <c r="K50" s="450">
        <f t="shared" si="12"/>
        <v>0</v>
      </c>
      <c r="L50" s="59">
        <f t="shared" si="12"/>
        <v>0</v>
      </c>
    </row>
    <row r="51" spans="1:12" s="5" customFormat="1" ht="15.75" hidden="1" thickBot="1" x14ac:dyDescent="0.3">
      <c r="A51" s="486"/>
      <c r="B51" s="487"/>
      <c r="C51" s="488"/>
      <c r="D51" s="488"/>
      <c r="E51" s="488"/>
      <c r="F51" s="489"/>
      <c r="G51" s="490" t="s">
        <v>59</v>
      </c>
      <c r="H51" s="489"/>
      <c r="I51" s="489"/>
      <c r="J51" s="491">
        <f>SUM(I50+J50+H50+G50)-E50</f>
        <v>0</v>
      </c>
      <c r="K51" s="486"/>
      <c r="L51" s="492"/>
    </row>
    <row r="52" spans="1:12" s="5" customFormat="1" ht="15" hidden="1" thickBot="1" x14ac:dyDescent="0.25">
      <c r="A52" s="489"/>
      <c r="B52" s="489"/>
      <c r="C52" s="489"/>
      <c r="D52" s="489"/>
      <c r="E52" s="489"/>
      <c r="F52" s="489"/>
      <c r="G52" s="489"/>
      <c r="H52" s="489"/>
      <c r="I52" s="489"/>
      <c r="J52" s="489"/>
      <c r="K52" s="489"/>
      <c r="L52" s="489"/>
    </row>
    <row r="53" spans="1:12" s="5" customFormat="1" ht="15.75" hidden="1" thickBot="1" x14ac:dyDescent="0.3">
      <c r="A53" s="478" t="s">
        <v>20</v>
      </c>
      <c r="B53" s="447" t="s">
        <v>6</v>
      </c>
      <c r="C53" s="473" t="s">
        <v>4</v>
      </c>
      <c r="D53" s="473" t="s">
        <v>7</v>
      </c>
      <c r="E53" s="473" t="s">
        <v>8</v>
      </c>
      <c r="F53" s="447" t="s">
        <v>9</v>
      </c>
      <c r="G53" s="447" t="s">
        <v>10</v>
      </c>
      <c r="H53" s="447" t="s">
        <v>11</v>
      </c>
      <c r="I53" s="473" t="s">
        <v>12</v>
      </c>
      <c r="J53" s="447" t="s">
        <v>13</v>
      </c>
      <c r="K53" s="479" t="s">
        <v>14</v>
      </c>
      <c r="L53" s="447" t="s">
        <v>15</v>
      </c>
    </row>
    <row r="54" spans="1:12" s="5" customFormat="1" ht="14.25" hidden="1" x14ac:dyDescent="0.2">
      <c r="A54" s="480"/>
      <c r="B54" s="481"/>
      <c r="C54" s="482"/>
      <c r="D54" s="482"/>
      <c r="E54" s="483"/>
      <c r="F54" s="449">
        <f>B54-(D54+L54)</f>
        <v>0</v>
      </c>
      <c r="G54" s="483"/>
      <c r="H54" s="449"/>
      <c r="I54" s="474"/>
      <c r="J54" s="481"/>
      <c r="K54" s="485">
        <f>SUM(I54+J54+H54+G54)-F54</f>
        <v>0</v>
      </c>
      <c r="L54" s="483"/>
    </row>
    <row r="55" spans="1:12" s="5" customFormat="1" ht="14.25" hidden="1" x14ac:dyDescent="0.2">
      <c r="A55" s="480"/>
      <c r="B55" s="481"/>
      <c r="C55" s="482"/>
      <c r="D55" s="482"/>
      <c r="E55" s="483"/>
      <c r="F55" s="449">
        <f>B55-(D55+L55)</f>
        <v>0</v>
      </c>
      <c r="G55" s="483"/>
      <c r="H55" s="449"/>
      <c r="I55" s="474"/>
      <c r="J55" s="481"/>
      <c r="K55" s="485">
        <f>SUM(I55+J55+H55+G55)-F55</f>
        <v>0</v>
      </c>
      <c r="L55" s="483"/>
    </row>
    <row r="56" spans="1:12" ht="15" hidden="1" thickBot="1" x14ac:dyDescent="0.25">
      <c r="A56" s="480"/>
      <c r="B56" s="481"/>
      <c r="C56" s="482"/>
      <c r="D56" s="482"/>
      <c r="E56" s="483"/>
      <c r="F56" s="449">
        <f>B56-(D56+L56)</f>
        <v>0</v>
      </c>
      <c r="G56" s="483"/>
      <c r="H56" s="449"/>
      <c r="I56" s="474"/>
      <c r="J56" s="481"/>
      <c r="K56" s="485">
        <f>SUM(I56+J56+H56+G56)-F56</f>
        <v>0</v>
      </c>
      <c r="L56" s="483"/>
    </row>
    <row r="57" spans="1:12" ht="15.75" hidden="1" thickBot="1" x14ac:dyDescent="0.3">
      <c r="A57" s="478" t="s">
        <v>19</v>
      </c>
      <c r="B57" s="452">
        <f>SUM(B54:B56)</f>
        <v>0</v>
      </c>
      <c r="C57" s="452">
        <f t="shared" ref="C57:L57" si="14">SUM(C54:C56)</f>
        <v>0</v>
      </c>
      <c r="D57" s="452">
        <f t="shared" si="14"/>
        <v>0</v>
      </c>
      <c r="E57" s="452">
        <f>SUM(E54:E56)</f>
        <v>0</v>
      </c>
      <c r="F57" s="452">
        <f t="shared" si="14"/>
        <v>0</v>
      </c>
      <c r="G57" s="452">
        <f t="shared" si="14"/>
        <v>0</v>
      </c>
      <c r="H57" s="452">
        <f t="shared" si="14"/>
        <v>0</v>
      </c>
      <c r="I57" s="452">
        <f t="shared" si="14"/>
        <v>0</v>
      </c>
      <c r="J57" s="452">
        <f t="shared" si="14"/>
        <v>0</v>
      </c>
      <c r="K57" s="452">
        <f t="shared" si="14"/>
        <v>0</v>
      </c>
      <c r="L57" s="450">
        <f t="shared" si="14"/>
        <v>0</v>
      </c>
    </row>
    <row r="58" spans="1:12" ht="15.75" hidden="1" thickBot="1" x14ac:dyDescent="0.3">
      <c r="A58" s="486"/>
      <c r="B58" s="487"/>
      <c r="C58" s="488"/>
      <c r="D58" s="488"/>
      <c r="E58" s="488"/>
      <c r="F58" s="489"/>
      <c r="G58" s="490" t="s">
        <v>60</v>
      </c>
      <c r="H58" s="489"/>
      <c r="I58" s="493"/>
      <c r="J58" s="491">
        <f>SUM(I57+J57+H57+G57)-C57-E57</f>
        <v>0</v>
      </c>
      <c r="K58" s="486"/>
      <c r="L58" s="492"/>
    </row>
    <row r="59" spans="1:12" ht="14.25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14.25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14.25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14.25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14.25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</sheetData>
  <sheetProtection algorithmName="SHA-512" hashValue="pOl3b2Am43teJ9AZSqOwEOFZ3IIn9SurNwqEwnbdEdQ+lw3PFFwu9Uq8GOcsXgssWfbUcKvutWC/PnHXKd+M9A==" saltValue="G7M1Y04OtSyCFJnnZd7npA==" spinCount="100000" sheet="1" objects="1" scenarios="1"/>
  <mergeCells count="3">
    <mergeCell ref="A1:L1"/>
    <mergeCell ref="A2:L2"/>
    <mergeCell ref="Q36:R36"/>
  </mergeCells>
  <phoneticPr fontId="39" type="noConversion"/>
  <printOptions horizontalCentered="1" verticalCentered="1"/>
  <pageMargins left="0.74803149606299213" right="0.74803149606299213" top="0.15748031496062992" bottom="0.15748031496062992" header="0.15748031496062992" footer="0.15748031496062992"/>
  <pageSetup paperSize="9" scale="60" orientation="landscape" r:id="rId1"/>
  <headerFooter alignWithMargins="0"/>
  <colBreaks count="1" manualBreakCount="1">
    <brk id="12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Button 1">
              <controlPr defaultSize="0" print="0" autoFill="0" autoPict="0">
                <anchor moveWithCells="1" sizeWithCells="1">
                  <from>
                    <xdr:col>14</xdr:col>
                    <xdr:colOff>0</xdr:colOff>
                    <xdr:row>42</xdr:row>
                    <xdr:rowOff>0</xdr:rowOff>
                  </from>
                  <to>
                    <xdr:col>14</xdr:col>
                    <xdr:colOff>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Button 2">
              <controlPr defaultSize="0" print="0" autoFill="0" autoPict="0">
                <anchor moveWithCells="1" sizeWithCells="1">
                  <from>
                    <xdr:col>14</xdr:col>
                    <xdr:colOff>0</xdr:colOff>
                    <xdr:row>42</xdr:row>
                    <xdr:rowOff>0</xdr:rowOff>
                  </from>
                  <to>
                    <xdr:col>14</xdr:col>
                    <xdr:colOff>0</xdr:colOff>
                    <xdr:row>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Button 3">
              <controlPr defaultSize="0" print="0" autoFill="0" autoPict="0">
                <anchor moveWithCells="1" sizeWithCells="1">
                  <from>
                    <xdr:col>13</xdr:col>
                    <xdr:colOff>0</xdr:colOff>
                    <xdr:row>40</xdr:row>
                    <xdr:rowOff>0</xdr:rowOff>
                  </from>
                  <to>
                    <xdr:col>13</xdr:col>
                    <xdr:colOff>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Button 4">
              <controlPr defaultSize="0" print="0" autoFill="0" autoPict="0">
                <anchor moveWithCells="1" sizeWithCells="1">
                  <from>
                    <xdr:col>13</xdr:col>
                    <xdr:colOff>0</xdr:colOff>
                    <xdr:row>40</xdr:row>
                    <xdr:rowOff>0</xdr:rowOff>
                  </from>
                  <to>
                    <xdr:col>13</xdr:col>
                    <xdr:colOff>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Button 5">
              <controlPr defaultSize="0" print="0" autoFill="0" autoPict="0">
                <anchor moveWithCells="1" sizeWithCells="1">
                  <from>
                    <xdr:col>14</xdr:col>
                    <xdr:colOff>0</xdr:colOff>
                    <xdr:row>35</xdr:row>
                    <xdr:rowOff>0</xdr:rowOff>
                  </from>
                  <to>
                    <xdr:col>14</xdr:col>
                    <xdr:colOff>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Button 6">
              <controlPr defaultSize="0" print="0" autoFill="0" autoPict="0">
                <anchor moveWithCells="1" sizeWithCells="1">
                  <from>
                    <xdr:col>14</xdr:col>
                    <xdr:colOff>0</xdr:colOff>
                    <xdr:row>35</xdr:row>
                    <xdr:rowOff>0</xdr:rowOff>
                  </from>
                  <to>
                    <xdr:col>14</xdr:col>
                    <xdr:colOff>0</xdr:colOff>
                    <xdr:row>35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/>
  <dimension ref="A1:P108"/>
  <sheetViews>
    <sheetView topLeftCell="A7" zoomScale="70" zoomScaleNormal="70" workbookViewId="0">
      <selection activeCell="A9" sqref="A9:A15"/>
    </sheetView>
  </sheetViews>
  <sheetFormatPr defaultColWidth="9.140625" defaultRowHeight="16.5" x14ac:dyDescent="0.3"/>
  <cols>
    <col min="1" max="1" width="36.85546875" style="193" customWidth="1"/>
    <col min="2" max="4" width="19.28515625" style="193" customWidth="1"/>
    <col min="5" max="5" width="2.7109375" style="193" customWidth="1"/>
    <col min="6" max="10" width="19.140625" style="193" customWidth="1"/>
    <col min="11" max="16384" width="9.140625" style="193"/>
  </cols>
  <sheetData>
    <row r="1" spans="1:10" ht="27" customHeight="1" x14ac:dyDescent="0.35">
      <c r="A1" s="625" t="s">
        <v>61</v>
      </c>
      <c r="B1" s="626"/>
      <c r="C1" s="626"/>
      <c r="D1" s="626"/>
    </row>
    <row r="2" spans="1:10" ht="27" customHeight="1" x14ac:dyDescent="0.3">
      <c r="A2" s="627">
        <f>Tue!L3</f>
        <v>46056</v>
      </c>
      <c r="B2" s="628"/>
      <c r="C2" s="628"/>
      <c r="D2" s="628"/>
    </row>
    <row r="3" spans="1:10" ht="27" customHeight="1" x14ac:dyDescent="0.3">
      <c r="A3" s="629"/>
      <c r="B3" s="630"/>
      <c r="C3" s="630"/>
      <c r="D3" s="630"/>
    </row>
    <row r="4" spans="1:10" ht="17.25" thickBot="1" x14ac:dyDescent="0.35">
      <c r="A4" s="194"/>
      <c r="B4" s="195"/>
      <c r="C4" s="196"/>
      <c r="D4" s="196"/>
    </row>
    <row r="5" spans="1:10" ht="24" customHeight="1" thickBot="1" x14ac:dyDescent="0.35">
      <c r="A5" s="431" t="s">
        <v>63</v>
      </c>
      <c r="B5" s="426" t="s">
        <v>160</v>
      </c>
      <c r="C5" s="197" t="s">
        <v>161</v>
      </c>
      <c r="F5" s="342" t="s">
        <v>65</v>
      </c>
      <c r="G5" s="475">
        <f>SUM(G6:G9)</f>
        <v>0</v>
      </c>
    </row>
    <row r="6" spans="1:10" ht="24" customHeight="1" x14ac:dyDescent="0.3">
      <c r="A6" s="432" t="s">
        <v>66</v>
      </c>
      <c r="B6" s="427">
        <f>Takings!B25</f>
        <v>0</v>
      </c>
      <c r="C6" s="199">
        <f>SUM(Takings!B24:B25)</f>
        <v>0</v>
      </c>
      <c r="F6" s="340" t="s">
        <v>70</v>
      </c>
      <c r="G6" s="341">
        <f>Takings!C6</f>
        <v>0</v>
      </c>
    </row>
    <row r="7" spans="1:10" ht="24" customHeight="1" x14ac:dyDescent="0.3">
      <c r="A7" s="355" t="s">
        <v>68</v>
      </c>
      <c r="B7" s="428">
        <f>Takings!C25</f>
        <v>0</v>
      </c>
      <c r="C7" s="201">
        <f>SUM(Takings!C24:C25)</f>
        <v>0</v>
      </c>
      <c r="F7" s="340" t="s">
        <v>329</v>
      </c>
      <c r="G7" s="341">
        <f>Takings!D6</f>
        <v>0</v>
      </c>
    </row>
    <row r="8" spans="1:10" ht="24" customHeight="1" x14ac:dyDescent="0.3">
      <c r="A8" s="355" t="s">
        <v>69</v>
      </c>
      <c r="B8" s="428">
        <f>Takings!I6</f>
        <v>0</v>
      </c>
      <c r="C8" s="201">
        <f>SUM(Takings!I5:I6)</f>
        <v>0</v>
      </c>
      <c r="F8" s="200" t="s">
        <v>67</v>
      </c>
      <c r="G8" s="201">
        <f>Takings!E6</f>
        <v>0</v>
      </c>
    </row>
    <row r="9" spans="1:10" ht="24" customHeight="1" thickBot="1" x14ac:dyDescent="0.35">
      <c r="A9" s="846" t="s">
        <v>71</v>
      </c>
      <c r="B9" s="429"/>
      <c r="C9" s="302"/>
      <c r="F9" s="202" t="s">
        <v>330</v>
      </c>
      <c r="G9" s="203">
        <f>Takings!F6</f>
        <v>0</v>
      </c>
    </row>
    <row r="10" spans="1:10" ht="24" customHeight="1" x14ac:dyDescent="0.3">
      <c r="A10" s="846" t="s">
        <v>72</v>
      </c>
      <c r="B10" s="429"/>
      <c r="C10" s="302"/>
    </row>
    <row r="11" spans="1:10" ht="24" customHeight="1" x14ac:dyDescent="0.3">
      <c r="A11" s="846" t="s">
        <v>73</v>
      </c>
      <c r="B11" s="429"/>
      <c r="C11" s="302"/>
    </row>
    <row r="12" spans="1:10" ht="24" customHeight="1" x14ac:dyDescent="0.3">
      <c r="A12" s="846" t="s">
        <v>339</v>
      </c>
      <c r="B12" s="429"/>
      <c r="C12" s="302"/>
    </row>
    <row r="13" spans="1:10" ht="24" customHeight="1" thickBot="1" x14ac:dyDescent="0.35">
      <c r="A13" s="846" t="s">
        <v>337</v>
      </c>
      <c r="B13" s="429"/>
      <c r="C13" s="302"/>
    </row>
    <row r="14" spans="1:10" ht="24" customHeight="1" thickBot="1" x14ac:dyDescent="0.35">
      <c r="A14" s="846" t="s">
        <v>338</v>
      </c>
      <c r="B14" s="429"/>
      <c r="C14" s="302"/>
      <c r="F14" s="722" t="s">
        <v>74</v>
      </c>
      <c r="G14" s="723"/>
      <c r="H14" s="723"/>
      <c r="I14" s="723"/>
      <c r="J14" s="724"/>
    </row>
    <row r="15" spans="1:10" ht="24" customHeight="1" thickBot="1" x14ac:dyDescent="0.35">
      <c r="A15" s="846" t="s">
        <v>75</v>
      </c>
      <c r="B15" s="429"/>
      <c r="C15" s="302"/>
      <c r="F15" s="578" t="s">
        <v>76</v>
      </c>
      <c r="G15" s="585"/>
      <c r="H15" s="578" t="s">
        <v>77</v>
      </c>
      <c r="I15" s="725"/>
      <c r="J15" s="726"/>
    </row>
    <row r="16" spans="1:10" ht="24" customHeight="1" x14ac:dyDescent="0.3">
      <c r="A16" s="355" t="s">
        <v>65</v>
      </c>
      <c r="B16" s="428">
        <f>Takings!C46</f>
        <v>0</v>
      </c>
      <c r="C16" s="201">
        <f>SUM(Takings!B46:C46)</f>
        <v>0</v>
      </c>
      <c r="F16" s="727" t="s">
        <v>78</v>
      </c>
      <c r="G16" s="735"/>
      <c r="H16" s="730"/>
      <c r="I16" s="730"/>
      <c r="J16" s="731"/>
    </row>
    <row r="17" spans="1:10" ht="24" customHeight="1" thickBot="1" x14ac:dyDescent="0.35">
      <c r="A17" s="355" t="s">
        <v>79</v>
      </c>
      <c r="B17" s="428">
        <f>Takings!C49</f>
        <v>0</v>
      </c>
      <c r="C17" s="201">
        <f>SUM(Takings!B49:C49)</f>
        <v>0</v>
      </c>
      <c r="F17" s="728"/>
      <c r="G17" s="732"/>
      <c r="H17" s="733"/>
      <c r="I17" s="733"/>
      <c r="J17" s="734"/>
    </row>
    <row r="18" spans="1:10" ht="24" customHeight="1" x14ac:dyDescent="0.3">
      <c r="A18" s="514" t="s">
        <v>80</v>
      </c>
      <c r="B18" s="516">
        <f>Takings!H6</f>
        <v>0</v>
      </c>
      <c r="C18" s="517">
        <f>SUM(Takings!H5:H6)</f>
        <v>0</v>
      </c>
      <c r="F18" s="727" t="s">
        <v>81</v>
      </c>
      <c r="G18" s="735"/>
      <c r="H18" s="730"/>
      <c r="I18" s="730"/>
      <c r="J18" s="731"/>
    </row>
    <row r="19" spans="1:10" ht="24" customHeight="1" thickBot="1" x14ac:dyDescent="0.35">
      <c r="A19" s="433" t="s">
        <v>22</v>
      </c>
      <c r="B19" s="430">
        <f>Takings!L38</f>
        <v>0</v>
      </c>
      <c r="C19" s="203">
        <f>SUM(Takings!L37:L38)</f>
        <v>0</v>
      </c>
      <c r="F19" s="728"/>
      <c r="G19" s="732"/>
      <c r="H19" s="733"/>
      <c r="I19" s="733"/>
      <c r="J19" s="734"/>
    </row>
    <row r="20" spans="1:10" ht="39" customHeight="1" thickBot="1" x14ac:dyDescent="0.35">
      <c r="F20" s="736" t="s">
        <v>331</v>
      </c>
      <c r="G20" s="737"/>
      <c r="H20" s="737"/>
      <c r="I20" s="737"/>
      <c r="J20" s="738"/>
    </row>
    <row r="21" spans="1:10" ht="24" customHeight="1" thickBot="1" x14ac:dyDescent="0.35">
      <c r="A21" s="204"/>
      <c r="B21" s="205" t="s">
        <v>82</v>
      </c>
      <c r="C21" s="206" t="s">
        <v>83</v>
      </c>
      <c r="D21" s="207" t="s">
        <v>84</v>
      </c>
      <c r="F21" s="578" t="s">
        <v>79</v>
      </c>
      <c r="G21" s="583">
        <f>Tue!C22+Tue!C28</f>
        <v>0</v>
      </c>
      <c r="H21" s="578" t="s">
        <v>85</v>
      </c>
      <c r="I21" s="668">
        <f>Tue!J29</f>
        <v>0</v>
      </c>
      <c r="J21" s="669"/>
    </row>
    <row r="22" spans="1:10" ht="24" customHeight="1" thickBot="1" x14ac:dyDescent="0.35">
      <c r="A22" s="210" t="s">
        <v>86</v>
      </c>
      <c r="B22" s="211"/>
      <c r="C22" s="212"/>
      <c r="D22" s="213"/>
      <c r="F22" s="657" t="s">
        <v>87</v>
      </c>
      <c r="G22" s="659"/>
      <c r="H22" s="660"/>
      <c r="I22" s="660"/>
      <c r="J22" s="661"/>
    </row>
    <row r="23" spans="1:10" ht="24" customHeight="1" thickBot="1" x14ac:dyDescent="0.35">
      <c r="A23" s="230"/>
      <c r="B23" s="642" t="s">
        <v>88</v>
      </c>
      <c r="C23" s="643"/>
      <c r="D23" s="644"/>
      <c r="F23" s="658"/>
      <c r="G23" s="662"/>
      <c r="H23" s="663"/>
      <c r="I23" s="663"/>
      <c r="J23" s="664"/>
    </row>
    <row r="24" spans="1:10" ht="24" customHeight="1" x14ac:dyDescent="0.3">
      <c r="A24" s="220" t="s">
        <v>89</v>
      </c>
      <c r="B24" s="319">
        <f>G75</f>
        <v>0</v>
      </c>
      <c r="C24" s="320" t="s">
        <v>90</v>
      </c>
      <c r="D24" s="324"/>
      <c r="F24" s="657" t="s">
        <v>91</v>
      </c>
      <c r="G24" s="670"/>
      <c r="H24" s="671"/>
      <c r="I24" s="671"/>
      <c r="J24" s="672"/>
    </row>
    <row r="25" spans="1:10" ht="24" customHeight="1" thickBot="1" x14ac:dyDescent="0.35">
      <c r="A25" s="220" t="s">
        <v>92</v>
      </c>
      <c r="B25" s="631"/>
      <c r="C25" s="632"/>
      <c r="D25" s="633"/>
      <c r="F25" s="658"/>
      <c r="G25" s="673"/>
      <c r="H25" s="674"/>
      <c r="I25" s="674"/>
      <c r="J25" s="675"/>
    </row>
    <row r="26" spans="1:10" ht="24" customHeight="1" x14ac:dyDescent="0.3">
      <c r="A26" s="220" t="s">
        <v>93</v>
      </c>
      <c r="B26" s="631"/>
      <c r="C26" s="632"/>
      <c r="D26" s="633"/>
      <c r="F26" s="657" t="s">
        <v>94</v>
      </c>
      <c r="G26" s="659"/>
      <c r="H26" s="660"/>
      <c r="I26" s="660"/>
      <c r="J26" s="661"/>
    </row>
    <row r="27" spans="1:10" ht="24" customHeight="1" thickBot="1" x14ac:dyDescent="0.35">
      <c r="A27" s="225" t="s">
        <v>95</v>
      </c>
      <c r="B27" s="634"/>
      <c r="C27" s="634"/>
      <c r="D27" s="635"/>
      <c r="F27" s="658"/>
      <c r="G27" s="662"/>
      <c r="H27" s="663"/>
      <c r="I27" s="663"/>
      <c r="J27" s="664"/>
    </row>
    <row r="28" spans="1:10" ht="24" customHeight="1" thickBot="1" x14ac:dyDescent="0.35">
      <c r="A28" s="219" t="s">
        <v>96</v>
      </c>
      <c r="B28" s="321">
        <f>B6-B24</f>
        <v>0</v>
      </c>
      <c r="C28" s="322" t="s">
        <v>90</v>
      </c>
      <c r="D28" s="323"/>
      <c r="F28" s="665" t="s">
        <v>329</v>
      </c>
      <c r="G28" s="666"/>
      <c r="H28" s="666"/>
      <c r="I28" s="666"/>
      <c r="J28" s="667"/>
    </row>
    <row r="29" spans="1:10" ht="24" customHeight="1" thickBot="1" x14ac:dyDescent="0.35">
      <c r="A29" s="220" t="s">
        <v>97</v>
      </c>
      <c r="B29" s="631"/>
      <c r="C29" s="632"/>
      <c r="D29" s="633"/>
      <c r="F29" s="578" t="s">
        <v>79</v>
      </c>
      <c r="G29" s="583">
        <f>Tue!C8</f>
        <v>0</v>
      </c>
      <c r="H29" s="578" t="s">
        <v>85</v>
      </c>
      <c r="I29" s="668">
        <f>Tue!J9</f>
        <v>0</v>
      </c>
      <c r="J29" s="669"/>
    </row>
    <row r="30" spans="1:10" ht="24" customHeight="1" x14ac:dyDescent="0.3">
      <c r="A30" s="220" t="s">
        <v>93</v>
      </c>
      <c r="B30" s="631"/>
      <c r="C30" s="632"/>
      <c r="D30" s="633"/>
      <c r="F30" s="657" t="s">
        <v>87</v>
      </c>
      <c r="G30" s="659"/>
      <c r="H30" s="660"/>
      <c r="I30" s="660"/>
      <c r="J30" s="661"/>
    </row>
    <row r="31" spans="1:10" ht="24" customHeight="1" thickBot="1" x14ac:dyDescent="0.35">
      <c r="A31" s="225" t="s">
        <v>95</v>
      </c>
      <c r="B31" s="634"/>
      <c r="C31" s="679"/>
      <c r="D31" s="680"/>
      <c r="F31" s="658"/>
      <c r="G31" s="662"/>
      <c r="H31" s="663"/>
      <c r="I31" s="663"/>
      <c r="J31" s="664"/>
    </row>
    <row r="32" spans="1:10" ht="24" customHeight="1" x14ac:dyDescent="0.3">
      <c r="A32" s="220"/>
      <c r="B32" s="698" t="s">
        <v>332</v>
      </c>
      <c r="C32" s="699"/>
      <c r="D32" s="700"/>
      <c r="F32" s="657" t="s">
        <v>91</v>
      </c>
      <c r="G32" s="659"/>
      <c r="H32" s="660"/>
      <c r="I32" s="660"/>
      <c r="J32" s="661"/>
    </row>
    <row r="33" spans="1:16" ht="24" customHeight="1" thickBot="1" x14ac:dyDescent="0.35">
      <c r="A33" s="220" t="s">
        <v>333</v>
      </c>
      <c r="B33" s="631"/>
      <c r="C33" s="701"/>
      <c r="D33" s="702"/>
      <c r="F33" s="658"/>
      <c r="G33" s="662"/>
      <c r="H33" s="663"/>
      <c r="I33" s="663"/>
      <c r="J33" s="664"/>
    </row>
    <row r="34" spans="1:16" ht="24" customHeight="1" x14ac:dyDescent="0.3">
      <c r="A34" s="220" t="s">
        <v>334</v>
      </c>
      <c r="B34" s="631"/>
      <c r="C34" s="701"/>
      <c r="D34" s="702"/>
      <c r="F34" s="657" t="s">
        <v>94</v>
      </c>
      <c r="G34" s="670"/>
      <c r="H34" s="671"/>
      <c r="I34" s="671"/>
      <c r="J34" s="672"/>
    </row>
    <row r="35" spans="1:16" ht="24" customHeight="1" thickBot="1" x14ac:dyDescent="0.35">
      <c r="A35" s="220" t="s">
        <v>335</v>
      </c>
      <c r="B35" s="631"/>
      <c r="C35" s="701"/>
      <c r="D35" s="702"/>
      <c r="F35" s="658"/>
      <c r="G35" s="673"/>
      <c r="H35" s="674"/>
      <c r="I35" s="674"/>
      <c r="J35" s="675"/>
    </row>
    <row r="36" spans="1:16" ht="24" customHeight="1" thickBot="1" x14ac:dyDescent="0.35">
      <c r="A36" s="220" t="s">
        <v>98</v>
      </c>
      <c r="B36" s="631"/>
      <c r="C36" s="701"/>
      <c r="D36" s="702"/>
      <c r="F36" s="676" t="s">
        <v>99</v>
      </c>
      <c r="G36" s="677"/>
      <c r="H36" s="677"/>
      <c r="I36" s="677"/>
      <c r="J36" s="678"/>
    </row>
    <row r="37" spans="1:16" ht="24" customHeight="1" thickBot="1" x14ac:dyDescent="0.35">
      <c r="A37" s="225" t="s">
        <v>336</v>
      </c>
      <c r="B37" s="634"/>
      <c r="C37" s="703"/>
      <c r="D37" s="704"/>
      <c r="F37" s="578" t="s">
        <v>79</v>
      </c>
      <c r="G37" s="583">
        <f>Tue!C15</f>
        <v>0</v>
      </c>
      <c r="H37" s="578" t="s">
        <v>85</v>
      </c>
      <c r="I37" s="668">
        <f>Tue!J16</f>
        <v>0</v>
      </c>
      <c r="J37" s="669"/>
    </row>
    <row r="38" spans="1:16" ht="24" customHeight="1" x14ac:dyDescent="0.3">
      <c r="A38" s="220"/>
      <c r="B38" s="648" t="s">
        <v>100</v>
      </c>
      <c r="C38" s="649"/>
      <c r="D38" s="650"/>
      <c r="F38" s="657" t="s">
        <v>87</v>
      </c>
      <c r="G38" s="659"/>
      <c r="H38" s="660"/>
      <c r="I38" s="660"/>
      <c r="J38" s="661"/>
    </row>
    <row r="39" spans="1:16" ht="24" customHeight="1" thickBot="1" x14ac:dyDescent="0.35">
      <c r="A39" s="220" t="s">
        <v>101</v>
      </c>
      <c r="B39" s="695"/>
      <c r="C39" s="696"/>
      <c r="D39" s="697"/>
      <c r="F39" s="658"/>
      <c r="G39" s="662"/>
      <c r="H39" s="663"/>
      <c r="I39" s="663"/>
      <c r="J39" s="664"/>
    </row>
    <row r="40" spans="1:16" ht="24" customHeight="1" x14ac:dyDescent="0.3">
      <c r="A40" s="220" t="s">
        <v>102</v>
      </c>
      <c r="B40" s="639" t="e">
        <f>Takings!B25/Takings!E25</f>
        <v>#DIV/0!</v>
      </c>
      <c r="C40" s="640"/>
      <c r="D40" s="641"/>
      <c r="F40" s="657" t="s">
        <v>91</v>
      </c>
      <c r="G40" s="659"/>
      <c r="H40" s="660"/>
      <c r="I40" s="660"/>
      <c r="J40" s="661"/>
    </row>
    <row r="41" spans="1:16" ht="24" customHeight="1" thickBot="1" x14ac:dyDescent="0.35">
      <c r="A41" s="220" t="s">
        <v>103</v>
      </c>
      <c r="B41" s="645"/>
      <c r="C41" s="646"/>
      <c r="D41" s="647"/>
      <c r="F41" s="658"/>
      <c r="G41" s="662"/>
      <c r="H41" s="663"/>
      <c r="I41" s="663"/>
      <c r="J41" s="664"/>
      <c r="P41" s="584"/>
    </row>
    <row r="42" spans="1:16" ht="24" customHeight="1" x14ac:dyDescent="0.3">
      <c r="A42" s="230"/>
      <c r="B42" s="642" t="s">
        <v>22</v>
      </c>
      <c r="C42" s="643"/>
      <c r="D42" s="644"/>
      <c r="F42" s="657" t="s">
        <v>94</v>
      </c>
      <c r="G42" s="670"/>
      <c r="H42" s="671"/>
      <c r="I42" s="671"/>
      <c r="J42" s="672"/>
    </row>
    <row r="43" spans="1:16" ht="24" customHeight="1" thickBot="1" x14ac:dyDescent="0.35">
      <c r="A43" s="220" t="s">
        <v>104</v>
      </c>
      <c r="B43" s="636"/>
      <c r="C43" s="637"/>
      <c r="D43" s="638"/>
      <c r="F43" s="658"/>
      <c r="G43" s="673"/>
      <c r="H43" s="674"/>
      <c r="I43" s="674"/>
      <c r="J43" s="675"/>
    </row>
    <row r="44" spans="1:16" ht="24" customHeight="1" thickBot="1" x14ac:dyDescent="0.35">
      <c r="A44" s="220" t="s">
        <v>105</v>
      </c>
      <c r="B44" s="693"/>
      <c r="C44" s="636"/>
      <c r="D44" s="694"/>
      <c r="F44" s="739" t="s">
        <v>106</v>
      </c>
      <c r="G44" s="740"/>
      <c r="H44" s="740"/>
      <c r="I44" s="740"/>
      <c r="J44" s="741"/>
    </row>
    <row r="45" spans="1:16" ht="24" customHeight="1" thickBot="1" x14ac:dyDescent="0.35">
      <c r="A45" s="220" t="s">
        <v>107</v>
      </c>
      <c r="B45" s="414"/>
      <c r="C45" s="415"/>
      <c r="D45" s="231"/>
      <c r="F45" s="578" t="s">
        <v>79</v>
      </c>
      <c r="G45" s="583">
        <f>Tue!C36+Tue!C42</f>
        <v>0</v>
      </c>
      <c r="H45" s="578" t="s">
        <v>85</v>
      </c>
      <c r="I45" s="668">
        <f>Tue!J43</f>
        <v>0</v>
      </c>
      <c r="J45" s="669"/>
    </row>
    <row r="46" spans="1:16" ht="24" customHeight="1" thickBot="1" x14ac:dyDescent="0.35">
      <c r="A46" s="582"/>
      <c r="B46" s="681"/>
      <c r="C46" s="682"/>
      <c r="D46" s="683"/>
      <c r="F46" s="657" t="s">
        <v>87</v>
      </c>
      <c r="G46" s="659"/>
      <c r="H46" s="660"/>
      <c r="I46" s="660"/>
      <c r="J46" s="661"/>
    </row>
    <row r="47" spans="1:16" ht="24" customHeight="1" thickBot="1" x14ac:dyDescent="0.35">
      <c r="A47" s="581"/>
      <c r="B47" s="690" t="s">
        <v>108</v>
      </c>
      <c r="C47" s="691"/>
      <c r="D47" s="692"/>
      <c r="F47" s="658"/>
      <c r="G47" s="662"/>
      <c r="H47" s="663"/>
      <c r="I47" s="663"/>
      <c r="J47" s="664"/>
    </row>
    <row r="48" spans="1:16" ht="24" customHeight="1" x14ac:dyDescent="0.3">
      <c r="A48" s="579" t="s">
        <v>104</v>
      </c>
      <c r="B48" s="684"/>
      <c r="C48" s="685"/>
      <c r="D48" s="686"/>
      <c r="F48" s="657" t="s">
        <v>91</v>
      </c>
      <c r="G48" s="659"/>
      <c r="H48" s="660"/>
      <c r="I48" s="660"/>
      <c r="J48" s="661"/>
    </row>
    <row r="49" spans="1:10" ht="24" customHeight="1" thickBot="1" x14ac:dyDescent="0.35">
      <c r="A49" s="580" t="s">
        <v>105</v>
      </c>
      <c r="B49" s="687"/>
      <c r="C49" s="688"/>
      <c r="D49" s="689"/>
      <c r="F49" s="658"/>
      <c r="G49" s="662"/>
      <c r="H49" s="663"/>
      <c r="I49" s="663"/>
      <c r="J49" s="664"/>
    </row>
    <row r="50" spans="1:10" ht="24" customHeight="1" x14ac:dyDescent="0.3">
      <c r="A50" s="230"/>
      <c r="B50" s="705" t="s">
        <v>109</v>
      </c>
      <c r="C50" s="643"/>
      <c r="D50" s="644"/>
      <c r="F50" s="657" t="s">
        <v>94</v>
      </c>
      <c r="G50" s="659"/>
      <c r="H50" s="660"/>
      <c r="I50" s="660"/>
      <c r="J50" s="661"/>
    </row>
    <row r="51" spans="1:10" ht="24" customHeight="1" thickBot="1" x14ac:dyDescent="0.35">
      <c r="A51" s="232" t="s">
        <v>110</v>
      </c>
      <c r="B51" s="693"/>
      <c r="C51" s="637"/>
      <c r="D51" s="638"/>
      <c r="F51" s="658"/>
      <c r="G51" s="662"/>
      <c r="H51" s="663"/>
      <c r="I51" s="663"/>
      <c r="J51" s="664"/>
    </row>
    <row r="52" spans="1:10" ht="24" customHeight="1" x14ac:dyDescent="0.3">
      <c r="A52" s="220" t="s">
        <v>111</v>
      </c>
      <c r="B52" s="251" t="s">
        <v>112</v>
      </c>
      <c r="C52" s="253" t="s">
        <v>113</v>
      </c>
      <c r="D52" s="252"/>
    </row>
    <row r="53" spans="1:10" ht="24" customHeight="1" thickBot="1" x14ac:dyDescent="0.35">
      <c r="A53" s="220" t="s">
        <v>114</v>
      </c>
      <c r="B53" s="693" t="s">
        <v>112</v>
      </c>
      <c r="C53" s="637"/>
      <c r="D53" s="638"/>
    </row>
    <row r="54" spans="1:10" ht="24" customHeight="1" thickBot="1" x14ac:dyDescent="0.35">
      <c r="A54" s="230"/>
      <c r="B54" s="705" t="s">
        <v>115</v>
      </c>
      <c r="C54" s="643"/>
      <c r="D54" s="644"/>
      <c r="F54" s="198" t="s">
        <v>116</v>
      </c>
    </row>
    <row r="55" spans="1:10" ht="24" customHeight="1" x14ac:dyDescent="0.3">
      <c r="A55" s="220" t="s">
        <v>117</v>
      </c>
      <c r="B55" s="693"/>
      <c r="C55" s="637"/>
      <c r="D55" s="638"/>
      <c r="F55" s="208" t="s">
        <v>118</v>
      </c>
      <c r="G55" s="651" t="s">
        <v>119</v>
      </c>
      <c r="H55" s="652"/>
      <c r="I55" s="653"/>
      <c r="J55" s="209" t="s">
        <v>120</v>
      </c>
    </row>
    <row r="56" spans="1:10" ht="24" customHeight="1" x14ac:dyDescent="0.3">
      <c r="A56" s="220" t="s">
        <v>111</v>
      </c>
      <c r="B56" s="693"/>
      <c r="C56" s="637"/>
      <c r="D56" s="638"/>
      <c r="F56" s="343"/>
      <c r="G56" s="654"/>
      <c r="H56" s="655"/>
      <c r="I56" s="656"/>
      <c r="J56" s="215"/>
    </row>
    <row r="57" spans="1:10" ht="24" customHeight="1" thickBot="1" x14ac:dyDescent="0.35">
      <c r="A57" s="220" t="s">
        <v>114</v>
      </c>
      <c r="B57" s="693"/>
      <c r="C57" s="637"/>
      <c r="D57" s="638"/>
      <c r="F57" s="343"/>
      <c r="G57" s="654"/>
      <c r="H57" s="655"/>
      <c r="I57" s="656"/>
      <c r="J57" s="215"/>
    </row>
    <row r="58" spans="1:10" ht="24" customHeight="1" x14ac:dyDescent="0.3">
      <c r="A58" s="238"/>
      <c r="B58" s="620" t="s">
        <v>121</v>
      </c>
      <c r="C58" s="620"/>
      <c r="D58" s="621"/>
      <c r="F58" s="343"/>
      <c r="G58" s="654"/>
      <c r="H58" s="655"/>
      <c r="I58" s="656"/>
      <c r="J58" s="215"/>
    </row>
    <row r="59" spans="1:10" ht="24" customHeight="1" x14ac:dyDescent="0.3">
      <c r="A59" s="239" t="s">
        <v>122</v>
      </c>
      <c r="B59" s="622"/>
      <c r="C59" s="623"/>
      <c r="D59" s="624"/>
      <c r="F59" s="343"/>
      <c r="G59" s="654"/>
      <c r="H59" s="655"/>
      <c r="I59" s="656"/>
      <c r="J59" s="215"/>
    </row>
    <row r="60" spans="1:10" ht="24" customHeight="1" thickBot="1" x14ac:dyDescent="0.35">
      <c r="A60" s="239" t="s">
        <v>123</v>
      </c>
      <c r="B60" s="614"/>
      <c r="C60" s="710"/>
      <c r="D60" s="711"/>
      <c r="E60" s="237"/>
      <c r="F60" s="343"/>
      <c r="G60" s="654"/>
      <c r="H60" s="655"/>
      <c r="I60" s="656"/>
      <c r="J60" s="215"/>
    </row>
    <row r="61" spans="1:10" ht="24" customHeight="1" x14ac:dyDescent="0.3">
      <c r="A61" s="238"/>
      <c r="B61" s="713" t="s">
        <v>124</v>
      </c>
      <c r="C61" s="620"/>
      <c r="D61" s="621"/>
      <c r="E61" s="237"/>
      <c r="F61" s="214"/>
      <c r="G61" s="654"/>
      <c r="H61" s="655"/>
      <c r="I61" s="656"/>
      <c r="J61" s="215"/>
    </row>
    <row r="62" spans="1:10" ht="24" customHeight="1" x14ac:dyDescent="0.3">
      <c r="A62" s="239" t="s">
        <v>125</v>
      </c>
      <c r="B62" s="614"/>
      <c r="C62" s="615"/>
      <c r="D62" s="616"/>
      <c r="E62" s="237"/>
      <c r="F62" s="214"/>
      <c r="G62" s="654"/>
      <c r="H62" s="655"/>
      <c r="I62" s="656"/>
      <c r="J62" s="215"/>
    </row>
    <row r="63" spans="1:10" ht="24" customHeight="1" thickBot="1" x14ac:dyDescent="0.35">
      <c r="A63" s="240"/>
      <c r="B63" s="617"/>
      <c r="C63" s="618"/>
      <c r="D63" s="619"/>
      <c r="E63" s="237"/>
      <c r="F63" s="216"/>
      <c r="G63" s="707"/>
      <c r="H63" s="708"/>
      <c r="I63" s="709"/>
      <c r="J63" s="217"/>
    </row>
    <row r="64" spans="1:10" ht="24" customHeight="1" thickBot="1" x14ac:dyDescent="0.35">
      <c r="A64" s="241" t="s">
        <v>126</v>
      </c>
      <c r="B64" s="706"/>
      <c r="C64" s="714"/>
      <c r="D64" s="715"/>
      <c r="E64" s="237"/>
    </row>
    <row r="65" spans="1:10" ht="24" customHeight="1" x14ac:dyDescent="0.3">
      <c r="A65" s="242"/>
      <c r="B65" s="717" t="s">
        <v>127</v>
      </c>
      <c r="C65" s="718"/>
      <c r="D65" s="719"/>
      <c r="E65" s="237"/>
      <c r="F65" s="218" t="s">
        <v>88</v>
      </c>
      <c r="G65" s="218"/>
      <c r="H65" s="198" t="s">
        <v>128</v>
      </c>
      <c r="I65" s="218" t="s">
        <v>129</v>
      </c>
      <c r="J65" s="218" t="s">
        <v>130</v>
      </c>
    </row>
    <row r="66" spans="1:10" ht="24" customHeight="1" thickBot="1" x14ac:dyDescent="0.35">
      <c r="A66" s="434" t="s">
        <v>131</v>
      </c>
      <c r="B66" s="712"/>
      <c r="C66" s="720"/>
      <c r="D66" s="721"/>
      <c r="E66" s="237"/>
      <c r="F66" s="92" t="s">
        <v>130</v>
      </c>
      <c r="G66" s="92" t="s">
        <v>40</v>
      </c>
      <c r="H66" s="92" t="s">
        <v>40</v>
      </c>
      <c r="I66" s="92" t="s">
        <v>132</v>
      </c>
      <c r="J66" s="92" t="s">
        <v>133</v>
      </c>
    </row>
    <row r="67" spans="1:10" ht="24" customHeight="1" x14ac:dyDescent="0.3">
      <c r="A67" s="339" t="s">
        <v>134</v>
      </c>
      <c r="B67" s="712"/>
      <c r="C67" s="720"/>
      <c r="D67" s="721"/>
      <c r="E67" s="237"/>
      <c r="F67" s="110" t="s">
        <v>135</v>
      </c>
      <c r="G67" s="221"/>
      <c r="H67" s="222"/>
      <c r="I67" s="223"/>
      <c r="J67" s="224">
        <v>23</v>
      </c>
    </row>
    <row r="68" spans="1:10" ht="24" customHeight="1" x14ac:dyDescent="0.3">
      <c r="A68" s="243" t="s">
        <v>136</v>
      </c>
      <c r="B68" s="712"/>
      <c r="C68" s="710"/>
      <c r="D68" s="711"/>
      <c r="F68" s="118" t="s">
        <v>137</v>
      </c>
      <c r="G68" s="226"/>
      <c r="H68" s="227">
        <f t="shared" ref="H68:H73" si="0">G68-G67</f>
        <v>0</v>
      </c>
      <c r="I68" s="228"/>
      <c r="J68" s="229">
        <v>23</v>
      </c>
    </row>
    <row r="69" spans="1:10" ht="24" customHeight="1" thickBot="1" x14ac:dyDescent="0.35">
      <c r="A69" s="243" t="s">
        <v>138</v>
      </c>
      <c r="B69" s="716"/>
      <c r="C69" s="682"/>
      <c r="D69" s="683"/>
      <c r="F69" s="118" t="s">
        <v>139</v>
      </c>
      <c r="G69" s="226"/>
      <c r="H69" s="227">
        <f t="shared" si="0"/>
        <v>0</v>
      </c>
      <c r="I69" s="228"/>
      <c r="J69" s="229">
        <v>23</v>
      </c>
    </row>
    <row r="70" spans="1:10" ht="24" customHeight="1" x14ac:dyDescent="0.3">
      <c r="A70" s="244"/>
      <c r="B70" s="713" t="s">
        <v>140</v>
      </c>
      <c r="C70" s="620"/>
      <c r="D70" s="621"/>
      <c r="F70" s="118" t="s">
        <v>141</v>
      </c>
      <c r="G70" s="226"/>
      <c r="H70" s="227">
        <f t="shared" si="0"/>
        <v>0</v>
      </c>
      <c r="I70" s="228"/>
      <c r="J70" s="229">
        <v>23</v>
      </c>
    </row>
    <row r="71" spans="1:10" ht="24" customHeight="1" x14ac:dyDescent="0.3">
      <c r="A71" s="243" t="s">
        <v>142</v>
      </c>
      <c r="B71" s="614"/>
      <c r="C71" s="710"/>
      <c r="D71" s="711"/>
      <c r="F71" s="118" t="s">
        <v>143</v>
      </c>
      <c r="G71" s="226"/>
      <c r="H71" s="227">
        <f t="shared" si="0"/>
        <v>0</v>
      </c>
      <c r="I71" s="228"/>
      <c r="J71" s="229">
        <v>23</v>
      </c>
    </row>
    <row r="72" spans="1:10" ht="24" customHeight="1" thickBot="1" x14ac:dyDescent="0.35">
      <c r="A72" s="245" t="s">
        <v>144</v>
      </c>
      <c r="B72" s="706"/>
      <c r="C72" s="682"/>
      <c r="D72" s="683"/>
      <c r="F72" s="118" t="s">
        <v>145</v>
      </c>
      <c r="G72" s="226"/>
      <c r="H72" s="227">
        <f t="shared" si="0"/>
        <v>0</v>
      </c>
      <c r="I72" s="228"/>
      <c r="J72" s="229">
        <v>23</v>
      </c>
    </row>
    <row r="73" spans="1:10" ht="24" customHeight="1" x14ac:dyDescent="0.3">
      <c r="F73" s="118" t="s">
        <v>146</v>
      </c>
      <c r="G73" s="226"/>
      <c r="H73" s="227">
        <f t="shared" si="0"/>
        <v>0</v>
      </c>
      <c r="I73" s="228"/>
      <c r="J73" s="229">
        <v>23</v>
      </c>
    </row>
    <row r="74" spans="1:10" ht="24" customHeight="1" x14ac:dyDescent="0.3">
      <c r="F74" s="118" t="s">
        <v>147</v>
      </c>
      <c r="G74" s="226"/>
      <c r="H74" s="227">
        <f t="shared" ref="H74:H85" si="1">G74-G73</f>
        <v>0</v>
      </c>
      <c r="I74" s="228"/>
      <c r="J74" s="229">
        <v>23</v>
      </c>
    </row>
    <row r="75" spans="1:10" ht="24" customHeight="1" x14ac:dyDescent="0.3">
      <c r="F75" s="118" t="s">
        <v>148</v>
      </c>
      <c r="G75" s="226"/>
      <c r="H75" s="227">
        <f t="shared" si="1"/>
        <v>0</v>
      </c>
      <c r="I75" s="228"/>
      <c r="J75" s="229">
        <v>23</v>
      </c>
    </row>
    <row r="76" spans="1:10" ht="24" customHeight="1" x14ac:dyDescent="0.3">
      <c r="F76" s="118" t="s">
        <v>149</v>
      </c>
      <c r="G76" s="226"/>
      <c r="H76" s="227">
        <f t="shared" si="1"/>
        <v>0</v>
      </c>
      <c r="I76" s="228"/>
      <c r="J76" s="229">
        <v>23</v>
      </c>
    </row>
    <row r="77" spans="1:10" ht="24" customHeight="1" x14ac:dyDescent="0.3">
      <c r="F77" s="118" t="s">
        <v>150</v>
      </c>
      <c r="G77" s="226"/>
      <c r="H77" s="227">
        <f t="shared" si="1"/>
        <v>0</v>
      </c>
      <c r="I77" s="228"/>
      <c r="J77" s="229">
        <v>23</v>
      </c>
    </row>
    <row r="78" spans="1:10" ht="24" customHeight="1" x14ac:dyDescent="0.3">
      <c r="F78" s="118" t="s">
        <v>151</v>
      </c>
      <c r="G78" s="226"/>
      <c r="H78" s="227">
        <f t="shared" si="1"/>
        <v>0</v>
      </c>
      <c r="I78" s="228"/>
      <c r="J78" s="229">
        <v>23</v>
      </c>
    </row>
    <row r="79" spans="1:10" ht="24" customHeight="1" x14ac:dyDescent="0.3">
      <c r="F79" s="118" t="s">
        <v>152</v>
      </c>
      <c r="G79" s="226"/>
      <c r="H79" s="227">
        <f t="shared" si="1"/>
        <v>0</v>
      </c>
      <c r="I79" s="228"/>
      <c r="J79" s="229">
        <v>23</v>
      </c>
    </row>
    <row r="80" spans="1:10" ht="24" customHeight="1" x14ac:dyDescent="0.3">
      <c r="F80" s="118" t="s">
        <v>153</v>
      </c>
      <c r="G80" s="226"/>
      <c r="H80" s="227">
        <f t="shared" si="1"/>
        <v>0</v>
      </c>
      <c r="I80" s="228"/>
      <c r="J80" s="229">
        <v>23</v>
      </c>
    </row>
    <row r="81" spans="6:10" ht="24" customHeight="1" x14ac:dyDescent="0.3">
      <c r="F81" s="118" t="s">
        <v>154</v>
      </c>
      <c r="G81" s="226"/>
      <c r="H81" s="227">
        <f t="shared" si="1"/>
        <v>0</v>
      </c>
      <c r="I81" s="228"/>
      <c r="J81" s="229">
        <v>23</v>
      </c>
    </row>
    <row r="82" spans="6:10" ht="24" customHeight="1" x14ac:dyDescent="0.3">
      <c r="F82" s="118" t="s">
        <v>155</v>
      </c>
      <c r="G82" s="226"/>
      <c r="H82" s="227">
        <f t="shared" si="1"/>
        <v>0</v>
      </c>
      <c r="I82" s="228"/>
      <c r="J82" s="229">
        <v>23</v>
      </c>
    </row>
    <row r="83" spans="6:10" ht="24" customHeight="1" x14ac:dyDescent="0.3">
      <c r="F83" s="118" t="s">
        <v>156</v>
      </c>
      <c r="G83" s="226"/>
      <c r="H83" s="227">
        <f t="shared" si="1"/>
        <v>0</v>
      </c>
      <c r="I83" s="228"/>
      <c r="J83" s="229">
        <v>23</v>
      </c>
    </row>
    <row r="84" spans="6:10" ht="24" customHeight="1" x14ac:dyDescent="0.3">
      <c r="F84" s="118" t="s">
        <v>157</v>
      </c>
      <c r="G84" s="226"/>
      <c r="H84" s="227">
        <f t="shared" si="1"/>
        <v>0</v>
      </c>
      <c r="I84" s="228"/>
      <c r="J84" s="229">
        <v>23</v>
      </c>
    </row>
    <row r="85" spans="6:10" ht="24" customHeight="1" thickBot="1" x14ac:dyDescent="0.35">
      <c r="F85" s="127" t="s">
        <v>158</v>
      </c>
      <c r="G85" s="233"/>
      <c r="H85" s="234">
        <f t="shared" si="1"/>
        <v>0</v>
      </c>
      <c r="I85" s="235"/>
      <c r="J85" s="236">
        <v>23</v>
      </c>
    </row>
    <row r="86" spans="6:10" ht="24" customHeight="1" x14ac:dyDescent="0.3"/>
    <row r="87" spans="6:10" ht="24" customHeight="1" x14ac:dyDescent="0.3"/>
    <row r="88" spans="6:10" ht="24" customHeight="1" x14ac:dyDescent="0.3"/>
    <row r="89" spans="6:10" ht="24" customHeight="1" x14ac:dyDescent="0.3"/>
    <row r="90" spans="6:10" ht="24" customHeight="1" x14ac:dyDescent="0.3"/>
    <row r="91" spans="6:10" ht="24" customHeight="1" x14ac:dyDescent="0.3"/>
    <row r="92" spans="6:10" ht="24" customHeight="1" x14ac:dyDescent="0.3"/>
    <row r="93" spans="6:10" ht="24" customHeight="1" x14ac:dyDescent="0.3"/>
    <row r="94" spans="6:10" ht="24" customHeight="1" x14ac:dyDescent="0.3"/>
    <row r="95" spans="6:10" ht="24" customHeight="1" x14ac:dyDescent="0.3"/>
    <row r="96" spans="6:10" ht="24" customHeight="1" x14ac:dyDescent="0.3"/>
    <row r="97" spans="1:4" ht="24" customHeight="1" x14ac:dyDescent="0.3"/>
    <row r="98" spans="1:4" ht="24" customHeight="1" x14ac:dyDescent="0.3"/>
    <row r="99" spans="1:4" ht="24" customHeight="1" x14ac:dyDescent="0.3"/>
    <row r="100" spans="1:4" ht="24" customHeight="1" x14ac:dyDescent="0.3"/>
    <row r="101" spans="1:4" ht="24" customHeight="1" x14ac:dyDescent="0.3"/>
    <row r="102" spans="1:4" ht="24" customHeight="1" x14ac:dyDescent="0.3">
      <c r="A102" s="237"/>
      <c r="B102" s="237"/>
      <c r="C102" s="237"/>
      <c r="D102" s="237"/>
    </row>
    <row r="103" spans="1:4" ht="24" customHeight="1" x14ac:dyDescent="0.3">
      <c r="A103" s="237"/>
      <c r="B103" s="237"/>
      <c r="C103" s="237"/>
      <c r="D103" s="237"/>
    </row>
    <row r="104" spans="1:4" ht="24" customHeight="1" x14ac:dyDescent="0.3">
      <c r="A104" s="237"/>
      <c r="B104" s="237"/>
      <c r="C104" s="237"/>
      <c r="D104" s="237"/>
    </row>
    <row r="105" spans="1:4" ht="24" customHeight="1" x14ac:dyDescent="0.3">
      <c r="A105" s="237"/>
      <c r="B105" s="237"/>
      <c r="C105" s="237"/>
      <c r="D105" s="237"/>
    </row>
    <row r="106" spans="1:4" ht="24" customHeight="1" x14ac:dyDescent="0.3">
      <c r="A106" s="237"/>
      <c r="B106" s="237"/>
      <c r="C106" s="237"/>
      <c r="D106" s="237"/>
    </row>
    <row r="107" spans="1:4" x14ac:dyDescent="0.3">
      <c r="A107" s="237"/>
      <c r="B107" s="237"/>
      <c r="C107" s="237"/>
      <c r="D107" s="237"/>
    </row>
    <row r="108" spans="1:4" x14ac:dyDescent="0.3">
      <c r="A108" s="237"/>
      <c r="B108" s="237"/>
      <c r="C108" s="237"/>
      <c r="D108" s="237"/>
    </row>
  </sheetData>
  <sheetProtection algorithmName="SHA-512" hashValue="J4usnZnhkD+dWbNavrqAA0+Wzo1pr8o1S8T12S3ukBkYJVkXJbwKM3OHhQXWIZ5DrsZHDkQEynXb0mlwl8KLQw==" saltValue="NqDbnsLMw0Zm4ggf+k/TQA==" spinCount="100000" sheet="1" objects="1" scenarios="1"/>
  <protectedRanges>
    <protectedRange sqref="A14:A15" name="Range1"/>
    <protectedRange sqref="A9:A13" name="Range1_1"/>
  </protectedRanges>
  <mergeCells count="95">
    <mergeCell ref="F48:F49"/>
    <mergeCell ref="G48:J49"/>
    <mergeCell ref="F50:F51"/>
    <mergeCell ref="G50:J51"/>
    <mergeCell ref="F42:F43"/>
    <mergeCell ref="G42:J43"/>
    <mergeCell ref="F44:J44"/>
    <mergeCell ref="I45:J45"/>
    <mergeCell ref="F46:F47"/>
    <mergeCell ref="G46:J47"/>
    <mergeCell ref="I37:J37"/>
    <mergeCell ref="F38:F39"/>
    <mergeCell ref="G38:J39"/>
    <mergeCell ref="F40:F41"/>
    <mergeCell ref="G40:J41"/>
    <mergeCell ref="F20:J20"/>
    <mergeCell ref="I21:J21"/>
    <mergeCell ref="F22:F23"/>
    <mergeCell ref="G22:J23"/>
    <mergeCell ref="F24:F25"/>
    <mergeCell ref="G24:J25"/>
    <mergeCell ref="F14:J14"/>
    <mergeCell ref="I15:J15"/>
    <mergeCell ref="F16:F17"/>
    <mergeCell ref="G16:J17"/>
    <mergeCell ref="F18:F19"/>
    <mergeCell ref="G18:J19"/>
    <mergeCell ref="B44:D44"/>
    <mergeCell ref="B51:D51"/>
    <mergeCell ref="B61:D61"/>
    <mergeCell ref="B62:D63"/>
    <mergeCell ref="B72:D72"/>
    <mergeCell ref="B71:D71"/>
    <mergeCell ref="B56:D56"/>
    <mergeCell ref="B65:D65"/>
    <mergeCell ref="B67:D67"/>
    <mergeCell ref="B60:D60"/>
    <mergeCell ref="B69:D69"/>
    <mergeCell ref="B70:D70"/>
    <mergeCell ref="B58:D58"/>
    <mergeCell ref="B59:D59"/>
    <mergeCell ref="B64:D64"/>
    <mergeCell ref="B68:D68"/>
    <mergeCell ref="B57:D57"/>
    <mergeCell ref="B66:D66"/>
    <mergeCell ref="G59:I59"/>
    <mergeCell ref="G60:I60"/>
    <mergeCell ref="G61:I61"/>
    <mergeCell ref="G62:I62"/>
    <mergeCell ref="G63:I63"/>
    <mergeCell ref="B55:D55"/>
    <mergeCell ref="B31:D31"/>
    <mergeCell ref="B46:D46"/>
    <mergeCell ref="B48:D48"/>
    <mergeCell ref="B49:D49"/>
    <mergeCell ref="B47:D47"/>
    <mergeCell ref="B50:D50"/>
    <mergeCell ref="B54:D54"/>
    <mergeCell ref="B53:D53"/>
    <mergeCell ref="B43:D43"/>
    <mergeCell ref="B42:D42"/>
    <mergeCell ref="B38:D38"/>
    <mergeCell ref="B39:D39"/>
    <mergeCell ref="B35:D35"/>
    <mergeCell ref="B36:D36"/>
    <mergeCell ref="B37:D37"/>
    <mergeCell ref="G55:I55"/>
    <mergeCell ref="G56:I56"/>
    <mergeCell ref="B23:D23"/>
    <mergeCell ref="G57:I57"/>
    <mergeCell ref="G58:I58"/>
    <mergeCell ref="F26:F27"/>
    <mergeCell ref="G26:J27"/>
    <mergeCell ref="F28:J28"/>
    <mergeCell ref="I29:J29"/>
    <mergeCell ref="F30:F31"/>
    <mergeCell ref="G30:J31"/>
    <mergeCell ref="F32:F33"/>
    <mergeCell ref="G32:J33"/>
    <mergeCell ref="F34:F35"/>
    <mergeCell ref="G34:J35"/>
    <mergeCell ref="F36:J36"/>
    <mergeCell ref="B41:D41"/>
    <mergeCell ref="B40:D40"/>
    <mergeCell ref="B34:D34"/>
    <mergeCell ref="B33:D33"/>
    <mergeCell ref="A1:D1"/>
    <mergeCell ref="A2:D2"/>
    <mergeCell ref="A3:D3"/>
    <mergeCell ref="B27:D27"/>
    <mergeCell ref="B32:D32"/>
    <mergeCell ref="B26:D26"/>
    <mergeCell ref="B25:D25"/>
    <mergeCell ref="B30:D30"/>
    <mergeCell ref="B29:D29"/>
  </mergeCells>
  <conditionalFormatting sqref="B40:D40">
    <cfRule type="cellIs" dxfId="5" priority="1" operator="lessThan">
      <formula>2.1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pageSetUpPr fitToPage="1"/>
  </sheetPr>
  <dimension ref="A1:R63"/>
  <sheetViews>
    <sheetView topLeftCell="A22" zoomScale="85" zoomScaleNormal="85" workbookViewId="0">
      <selection activeCell="Q8" sqref="Q8"/>
    </sheetView>
  </sheetViews>
  <sheetFormatPr defaultColWidth="9.140625" defaultRowHeight="12.75" x14ac:dyDescent="0.2"/>
  <cols>
    <col min="1" max="1" width="18.140625" style="1" customWidth="1"/>
    <col min="2" max="2" width="13.7109375" style="1" customWidth="1"/>
    <col min="3" max="5" width="11.5703125" style="1" customWidth="1"/>
    <col min="6" max="7" width="13.7109375" style="1" customWidth="1"/>
    <col min="8" max="8" width="13.7109375" style="1" hidden="1" customWidth="1"/>
    <col min="9" max="9" width="15.140625" style="1" customWidth="1"/>
    <col min="10" max="10" width="13.7109375" style="1" customWidth="1"/>
    <col min="11" max="11" width="16.28515625" style="1" customWidth="1"/>
    <col min="12" max="12" width="13.7109375" style="1" customWidth="1"/>
    <col min="13" max="13" width="9.28515625" style="1" customWidth="1"/>
    <col min="14" max="14" width="15.140625" style="1" customWidth="1"/>
    <col min="15" max="15" width="14.5703125" style="1" customWidth="1"/>
    <col min="16" max="16" width="4.42578125" style="1" customWidth="1"/>
    <col min="17" max="17" width="17.7109375" style="1" bestFit="1" customWidth="1"/>
    <col min="18" max="18" width="14" style="1" customWidth="1"/>
    <col min="19" max="16384" width="9.140625" style="1"/>
  </cols>
  <sheetData>
    <row r="1" spans="1:18" ht="20.25" x14ac:dyDescent="0.3">
      <c r="A1" s="742" t="s">
        <v>0</v>
      </c>
      <c r="B1" s="742"/>
      <c r="C1" s="742"/>
      <c r="D1" s="742"/>
      <c r="E1" s="742"/>
      <c r="F1" s="742"/>
      <c r="G1" s="742"/>
      <c r="H1" s="742"/>
      <c r="I1" s="742"/>
      <c r="J1" s="742"/>
      <c r="K1" s="742"/>
      <c r="L1" s="742"/>
    </row>
    <row r="2" spans="1:18" ht="20.25" x14ac:dyDescent="0.3">
      <c r="A2" s="742" t="s">
        <v>162</v>
      </c>
      <c r="B2" s="742"/>
      <c r="C2" s="742"/>
      <c r="D2" s="742"/>
      <c r="E2" s="742"/>
      <c r="F2" s="742"/>
      <c r="G2" s="742"/>
      <c r="H2" s="742"/>
      <c r="I2" s="742"/>
      <c r="J2" s="742"/>
      <c r="K2" s="742"/>
      <c r="L2" s="742"/>
    </row>
    <row r="3" spans="1:18" ht="16.5" thickBot="1" x14ac:dyDescent="0.3">
      <c r="K3" s="20" t="s">
        <v>2</v>
      </c>
      <c r="L3" s="21">
        <f>Tue!L3+1</f>
        <v>46057</v>
      </c>
      <c r="N3" s="9" t="s">
        <v>3</v>
      </c>
      <c r="O3" s="5"/>
      <c r="P3" s="5"/>
      <c r="Q3" s="9" t="s">
        <v>4</v>
      </c>
      <c r="R3" s="5"/>
    </row>
    <row r="4" spans="1:18" s="5" customFormat="1" ht="15.75" thickBot="1" x14ac:dyDescent="0.3">
      <c r="A4" s="360" t="s">
        <v>5</v>
      </c>
      <c r="B4" s="361" t="s">
        <v>6</v>
      </c>
      <c r="C4" s="94" t="s">
        <v>4</v>
      </c>
      <c r="D4" s="94" t="s">
        <v>7</v>
      </c>
      <c r="E4" s="94" t="s">
        <v>8</v>
      </c>
      <c r="F4" s="6" t="s">
        <v>9</v>
      </c>
      <c r="G4" s="356" t="s">
        <v>10</v>
      </c>
      <c r="H4" s="447" t="s">
        <v>11</v>
      </c>
      <c r="I4" s="94" t="s">
        <v>12</v>
      </c>
      <c r="J4" s="6" t="s">
        <v>13</v>
      </c>
      <c r="K4" s="7" t="s">
        <v>14</v>
      </c>
      <c r="L4" s="6" t="s">
        <v>15</v>
      </c>
      <c r="N4" s="52"/>
      <c r="O4" s="41"/>
      <c r="P4" s="3"/>
      <c r="Q4" s="52" t="str">
        <f>A4</f>
        <v>BISTRO</v>
      </c>
      <c r="R4" s="32">
        <f>C8</f>
        <v>0</v>
      </c>
    </row>
    <row r="5" spans="1:18" s="5" customFormat="1" ht="15" thickBot="1" x14ac:dyDescent="0.25">
      <c r="A5" s="362"/>
      <c r="B5" s="52"/>
      <c r="C5" s="359"/>
      <c r="D5" s="359"/>
      <c r="E5" s="359"/>
      <c r="F5" s="24">
        <f>B5-(D5+L5)</f>
        <v>0</v>
      </c>
      <c r="G5" s="357"/>
      <c r="H5" s="448"/>
      <c r="I5" s="463"/>
      <c r="J5" s="31"/>
      <c r="K5" s="32">
        <f>SUM(I5+J5+H5+G5)-F5</f>
        <v>0</v>
      </c>
      <c r="L5" s="33"/>
      <c r="N5" s="53"/>
      <c r="O5" s="49"/>
      <c r="P5" s="3"/>
      <c r="Q5" s="53" t="str">
        <f>A11</f>
        <v>SPORTS BAR</v>
      </c>
      <c r="R5" s="24">
        <f>C15</f>
        <v>0</v>
      </c>
    </row>
    <row r="6" spans="1:18" s="5" customFormat="1" ht="15" thickBot="1" x14ac:dyDescent="0.25">
      <c r="A6" s="55"/>
      <c r="B6" s="22"/>
      <c r="C6" s="23"/>
      <c r="D6" s="23"/>
      <c r="E6" s="472"/>
      <c r="F6" s="25">
        <f>B6-(D6+L6)</f>
        <v>0</v>
      </c>
      <c r="G6" s="358"/>
      <c r="H6" s="449"/>
      <c r="I6" s="464"/>
      <c r="J6" s="34"/>
      <c r="K6" s="32">
        <f>SUM(I6+J6+H6+G6)-F6</f>
        <v>0</v>
      </c>
      <c r="L6" s="33"/>
      <c r="N6" s="54"/>
      <c r="O6" s="44"/>
      <c r="P6" s="3"/>
      <c r="Q6" s="53" t="s">
        <v>16</v>
      </c>
      <c r="R6" s="24">
        <f>C22+C28</f>
        <v>0</v>
      </c>
    </row>
    <row r="7" spans="1:18" s="5" customFormat="1" ht="15.75" thickBot="1" x14ac:dyDescent="0.3">
      <c r="A7" s="56"/>
      <c r="B7" s="22"/>
      <c r="C7" s="28"/>
      <c r="D7" s="28"/>
      <c r="E7" s="28"/>
      <c r="F7" s="26">
        <f>B7-(D7+L7)</f>
        <v>0</v>
      </c>
      <c r="G7" s="358"/>
      <c r="H7" s="449"/>
      <c r="I7" s="464"/>
      <c r="J7" s="37"/>
      <c r="K7" s="32">
        <f>SUM(I7+J7+H7+G7)-F7</f>
        <v>0</v>
      </c>
      <c r="L7" s="38"/>
      <c r="N7" s="4" t="s">
        <v>17</v>
      </c>
      <c r="O7" s="50">
        <f>O4+O5+O6</f>
        <v>0</v>
      </c>
      <c r="Q7" s="54" t="s">
        <v>18</v>
      </c>
      <c r="R7" s="36">
        <f>+C36+C42</f>
        <v>0</v>
      </c>
    </row>
    <row r="8" spans="1:18" s="5" customFormat="1" ht="15.75" thickBot="1" x14ac:dyDescent="0.3">
      <c r="A8" s="4" t="s">
        <v>19</v>
      </c>
      <c r="B8" s="30">
        <f>SUM(B5:B7)</f>
        <v>0</v>
      </c>
      <c r="C8" s="30">
        <f t="shared" ref="C8" si="0">SUM(C5:C7)</f>
        <v>0</v>
      </c>
      <c r="D8" s="30">
        <f t="shared" ref="D8:L8" si="1">SUM(D5:D7)</f>
        <v>0</v>
      </c>
      <c r="E8" s="30">
        <f t="shared" si="1"/>
        <v>0</v>
      </c>
      <c r="F8" s="30">
        <f t="shared" si="1"/>
        <v>0</v>
      </c>
      <c r="G8" s="30">
        <f t="shared" si="1"/>
        <v>0</v>
      </c>
      <c r="H8" s="450">
        <f t="shared" si="1"/>
        <v>0</v>
      </c>
      <c r="I8" s="465">
        <f t="shared" si="1"/>
        <v>0</v>
      </c>
      <c r="J8" s="48">
        <f t="shared" si="1"/>
        <v>0</v>
      </c>
      <c r="K8" s="32">
        <f>SUM(I8+J8+H8+G8)-F8</f>
        <v>0</v>
      </c>
      <c r="L8" s="30">
        <f t="shared" si="1"/>
        <v>0</v>
      </c>
      <c r="Q8" s="480" t="s">
        <v>20</v>
      </c>
      <c r="R8" s="455">
        <f>C57</f>
        <v>0</v>
      </c>
    </row>
    <row r="9" spans="1:18" s="5" customFormat="1" ht="15.75" thickBot="1" x14ac:dyDescent="0.3">
      <c r="A9" s="9"/>
      <c r="B9" s="60"/>
      <c r="C9" s="61"/>
      <c r="D9" s="61"/>
      <c r="E9" s="61"/>
      <c r="G9" s="8" t="s">
        <v>21</v>
      </c>
      <c r="J9" s="40">
        <f>SUM(I8+J8+H8+G8)-C8-E8</f>
        <v>0</v>
      </c>
      <c r="K9" s="462"/>
      <c r="L9" s="460"/>
      <c r="Q9" s="4" t="s">
        <v>17</v>
      </c>
      <c r="R9" s="468">
        <f>SUM(R4:R8)</f>
        <v>0</v>
      </c>
    </row>
    <row r="10" spans="1:18" s="5" customFormat="1" ht="15.75" thickBot="1" x14ac:dyDescent="0.3">
      <c r="K10" s="459"/>
      <c r="L10" s="459"/>
      <c r="M10" s="61"/>
      <c r="N10" s="9" t="s">
        <v>22</v>
      </c>
    </row>
    <row r="11" spans="1:18" s="5" customFormat="1" ht="15.75" thickBot="1" x14ac:dyDescent="0.3">
      <c r="A11" s="4" t="s">
        <v>23</v>
      </c>
      <c r="B11" s="6" t="s">
        <v>6</v>
      </c>
      <c r="C11" s="94" t="s">
        <v>4</v>
      </c>
      <c r="D11" s="94" t="s">
        <v>7</v>
      </c>
      <c r="E11" s="94" t="s">
        <v>8</v>
      </c>
      <c r="F11" s="6" t="s">
        <v>9</v>
      </c>
      <c r="G11" s="6" t="s">
        <v>10</v>
      </c>
      <c r="H11" s="447" t="s">
        <v>11</v>
      </c>
      <c r="I11" s="94" t="s">
        <v>12</v>
      </c>
      <c r="J11" s="6" t="s">
        <v>13</v>
      </c>
      <c r="K11" s="7" t="s">
        <v>14</v>
      </c>
      <c r="L11" s="6" t="s">
        <v>15</v>
      </c>
      <c r="N11" s="4" t="s">
        <v>24</v>
      </c>
      <c r="O11" s="58"/>
      <c r="Q11" s="14" t="s">
        <v>25</v>
      </c>
      <c r="R11" s="15"/>
    </row>
    <row r="12" spans="1:18" s="5" customFormat="1" ht="14.25" x14ac:dyDescent="0.2">
      <c r="A12" s="54"/>
      <c r="B12" s="31"/>
      <c r="C12" s="41"/>
      <c r="D12" s="41"/>
      <c r="E12" s="43"/>
      <c r="F12" s="42">
        <f>B12-(D12+L12)</f>
        <v>0</v>
      </c>
      <c r="G12" s="43"/>
      <c r="H12" s="448"/>
      <c r="I12" s="463"/>
      <c r="J12" s="31"/>
      <c r="K12" s="32">
        <f>SUM(I12+J12+H12+G12)-F12</f>
        <v>0</v>
      </c>
      <c r="L12" s="43"/>
      <c r="N12" s="11" t="s">
        <v>26</v>
      </c>
      <c r="O12" s="57"/>
      <c r="Q12" s="16" t="s">
        <v>27</v>
      </c>
      <c r="R12" s="246"/>
    </row>
    <row r="13" spans="1:18" s="5" customFormat="1" ht="14.25" x14ac:dyDescent="0.2">
      <c r="A13" s="54"/>
      <c r="B13" s="35"/>
      <c r="C13" s="44"/>
      <c r="D13" s="44"/>
      <c r="E13" s="46"/>
      <c r="F13" s="45">
        <f>B13-(D13+L13)</f>
        <v>0</v>
      </c>
      <c r="G13" s="46"/>
      <c r="H13" s="449"/>
      <c r="I13" s="464"/>
      <c r="J13" s="35"/>
      <c r="K13" s="24">
        <f>SUM(I13+J13+H13+G13)-F13</f>
        <v>0</v>
      </c>
      <c r="L13" s="46"/>
      <c r="N13" s="2" t="s">
        <v>28</v>
      </c>
      <c r="O13" s="46"/>
      <c r="Q13" s="17" t="s">
        <v>29</v>
      </c>
      <c r="R13" s="247"/>
    </row>
    <row r="14" spans="1:18" s="5" customFormat="1" ht="15" thickBot="1" x14ac:dyDescent="0.25">
      <c r="A14" s="54"/>
      <c r="B14" s="35"/>
      <c r="C14" s="44"/>
      <c r="D14" s="44"/>
      <c r="E14" s="46"/>
      <c r="F14" s="45">
        <f>B14-(D14+L14)</f>
        <v>0</v>
      </c>
      <c r="G14" s="46"/>
      <c r="H14" s="449"/>
      <c r="I14" s="464"/>
      <c r="J14" s="35"/>
      <c r="K14" s="24">
        <f>SUM(I14+J14+H14+G14)-F14</f>
        <v>0</v>
      </c>
      <c r="L14" s="46"/>
      <c r="N14" s="13" t="s">
        <v>30</v>
      </c>
      <c r="O14" s="38"/>
      <c r="Q14" s="2" t="s">
        <v>31</v>
      </c>
      <c r="R14" s="36">
        <f>R12-R13</f>
        <v>0</v>
      </c>
    </row>
    <row r="15" spans="1:18" s="5" customFormat="1" ht="15.75" thickBot="1" x14ac:dyDescent="0.3">
      <c r="A15" s="4" t="s">
        <v>19</v>
      </c>
      <c r="B15" s="47">
        <f t="shared" ref="B15:L15" si="2">SUM(B12:B14)</f>
        <v>0</v>
      </c>
      <c r="C15" s="30">
        <f t="shared" ref="C15" si="3">SUM(C12:C14)</f>
        <v>0</v>
      </c>
      <c r="D15" s="30">
        <f t="shared" si="2"/>
        <v>0</v>
      </c>
      <c r="E15" s="30">
        <f t="shared" si="2"/>
        <v>0</v>
      </c>
      <c r="F15" s="29">
        <f t="shared" si="2"/>
        <v>0</v>
      </c>
      <c r="G15" s="30">
        <f t="shared" si="2"/>
        <v>0</v>
      </c>
      <c r="H15" s="450">
        <f t="shared" si="2"/>
        <v>0</v>
      </c>
      <c r="I15" s="465">
        <f t="shared" si="2"/>
        <v>0</v>
      </c>
      <c r="J15" s="30">
        <f t="shared" si="2"/>
        <v>0</v>
      </c>
      <c r="K15" s="30">
        <f t="shared" si="2"/>
        <v>0</v>
      </c>
      <c r="L15" s="48">
        <f t="shared" si="2"/>
        <v>0</v>
      </c>
      <c r="N15" s="4" t="s">
        <v>17</v>
      </c>
      <c r="O15" s="39">
        <f>SUM(O12:O14)</f>
        <v>0</v>
      </c>
      <c r="Q15" s="17" t="s">
        <v>32</v>
      </c>
      <c r="R15" s="247"/>
    </row>
    <row r="16" spans="1:18" s="5" customFormat="1" ht="15.75" thickBot="1" x14ac:dyDescent="0.3">
      <c r="A16" s="9"/>
      <c r="B16" s="60"/>
      <c r="C16" s="61"/>
      <c r="D16" s="61"/>
      <c r="E16" s="61"/>
      <c r="G16" s="8" t="s">
        <v>33</v>
      </c>
      <c r="J16" s="40">
        <f>SUM(I15+J15+H15+G15)-C15-E15</f>
        <v>0</v>
      </c>
      <c r="K16" s="9"/>
      <c r="L16" s="3"/>
      <c r="N16" s="4" t="s">
        <v>34</v>
      </c>
      <c r="O16" s="59"/>
      <c r="Q16" s="17" t="s">
        <v>35</v>
      </c>
      <c r="R16" s="247"/>
    </row>
    <row r="17" spans="1:18" s="5" customFormat="1" ht="15" thickBot="1" x14ac:dyDescent="0.25">
      <c r="N17" s="11" t="s">
        <v>26</v>
      </c>
      <c r="O17" s="57"/>
      <c r="Q17" s="18" t="s">
        <v>36</v>
      </c>
      <c r="R17" s="248"/>
    </row>
    <row r="18" spans="1:18" s="5" customFormat="1" ht="15.75" thickBot="1" x14ac:dyDescent="0.3">
      <c r="A18" s="360" t="s">
        <v>37</v>
      </c>
      <c r="B18" s="6" t="s">
        <v>6</v>
      </c>
      <c r="C18" s="94" t="s">
        <v>4</v>
      </c>
      <c r="D18" s="94" t="s">
        <v>7</v>
      </c>
      <c r="E18" s="94" t="s">
        <v>8</v>
      </c>
      <c r="F18" s="6" t="s">
        <v>9</v>
      </c>
      <c r="G18" s="6" t="s">
        <v>10</v>
      </c>
      <c r="H18" s="447" t="s">
        <v>11</v>
      </c>
      <c r="I18" s="94" t="s">
        <v>12</v>
      </c>
      <c r="J18" s="6" t="s">
        <v>13</v>
      </c>
      <c r="K18" s="7" t="s">
        <v>14</v>
      </c>
      <c r="L18" s="6" t="s">
        <v>15</v>
      </c>
      <c r="M18" s="61"/>
      <c r="N18" s="2" t="s">
        <v>28</v>
      </c>
      <c r="O18" s="46"/>
      <c r="Q18" s="10" t="s">
        <v>38</v>
      </c>
      <c r="R18" s="27"/>
    </row>
    <row r="19" spans="1:18" s="5" customFormat="1" ht="15.75" thickBot="1" x14ac:dyDescent="0.3">
      <c r="A19" s="52"/>
      <c r="B19" s="31"/>
      <c r="C19" s="41"/>
      <c r="D19" s="41"/>
      <c r="E19" s="43"/>
      <c r="F19" s="42">
        <f>B19-(D19+L19)</f>
        <v>0</v>
      </c>
      <c r="G19" s="43"/>
      <c r="H19" s="448"/>
      <c r="I19" s="463"/>
      <c r="J19" s="31"/>
      <c r="K19" s="32">
        <f>SUM(I19+J19+H19+G19)-F19</f>
        <v>0</v>
      </c>
      <c r="L19" s="43"/>
      <c r="N19" s="13" t="s">
        <v>30</v>
      </c>
      <c r="O19" s="38"/>
      <c r="Q19" s="91" t="s">
        <v>39</v>
      </c>
      <c r="R19" s="249">
        <f>R12-R15-R17-R18</f>
        <v>0</v>
      </c>
    </row>
    <row r="20" spans="1:18" s="5" customFormat="1" ht="15.75" thickBot="1" x14ac:dyDescent="0.3">
      <c r="A20" s="54"/>
      <c r="B20" s="35"/>
      <c r="C20" s="44"/>
      <c r="D20" s="44"/>
      <c r="E20" s="46"/>
      <c r="F20" s="45">
        <f>B20-(D20+L20)</f>
        <v>0</v>
      </c>
      <c r="G20" s="46"/>
      <c r="H20" s="449"/>
      <c r="I20" s="464"/>
      <c r="J20" s="35"/>
      <c r="K20" s="24">
        <f>SUM(I20+J20+H20+G20)-F20</f>
        <v>0</v>
      </c>
      <c r="L20" s="46"/>
      <c r="N20" s="4" t="s">
        <v>17</v>
      </c>
      <c r="O20" s="39">
        <f>SUM(O17:O19)</f>
        <v>0</v>
      </c>
      <c r="Q20" s="19" t="s">
        <v>40</v>
      </c>
      <c r="R20" s="250"/>
    </row>
    <row r="21" spans="1:18" s="5" customFormat="1" ht="15" thickBot="1" x14ac:dyDescent="0.25">
      <c r="A21" s="332"/>
      <c r="B21" s="37"/>
      <c r="C21" s="27"/>
      <c r="D21" s="27"/>
      <c r="E21" s="334"/>
      <c r="F21" s="333">
        <f>B21-(D21+L21)</f>
        <v>0</v>
      </c>
      <c r="G21" s="334"/>
      <c r="H21" s="451"/>
      <c r="I21" s="466"/>
      <c r="J21" s="37"/>
      <c r="K21" s="335">
        <f>SUM(I21+J21+H21+G21)-F21</f>
        <v>0</v>
      </c>
      <c r="L21" s="334"/>
    </row>
    <row r="22" spans="1:18" s="5" customFormat="1" ht="15.75" thickBot="1" x14ac:dyDescent="0.3">
      <c r="A22" s="4" t="s">
        <v>19</v>
      </c>
      <c r="B22" s="47">
        <f>SUM(B19:B21)</f>
        <v>0</v>
      </c>
      <c r="C22" s="47">
        <f t="shared" ref="C22" si="4">SUM(C19:C21)</f>
        <v>0</v>
      </c>
      <c r="D22" s="47">
        <f t="shared" ref="D22:L22" si="5">SUM(D19:D21)</f>
        <v>0</v>
      </c>
      <c r="E22" s="47">
        <f t="shared" si="5"/>
        <v>0</v>
      </c>
      <c r="F22" s="47">
        <f t="shared" si="5"/>
        <v>0</v>
      </c>
      <c r="G22" s="47">
        <f t="shared" si="5"/>
        <v>0</v>
      </c>
      <c r="H22" s="452">
        <f t="shared" si="5"/>
        <v>0</v>
      </c>
      <c r="I22" s="467">
        <f t="shared" si="5"/>
        <v>0</v>
      </c>
      <c r="J22" s="47">
        <f t="shared" si="5"/>
        <v>0</v>
      </c>
      <c r="K22" s="47">
        <f t="shared" si="5"/>
        <v>0</v>
      </c>
      <c r="L22" s="30">
        <f t="shared" si="5"/>
        <v>0</v>
      </c>
      <c r="N22" s="9" t="s">
        <v>10</v>
      </c>
    </row>
    <row r="23" spans="1:18" s="5" customFormat="1" ht="15.75" thickBot="1" x14ac:dyDescent="0.3">
      <c r="A23" s="9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N23" s="62" t="str">
        <f>A11</f>
        <v>SPORTS BAR</v>
      </c>
      <c r="O23" s="63">
        <f>G15</f>
        <v>0</v>
      </c>
      <c r="Q23" s="9" t="s">
        <v>19</v>
      </c>
    </row>
    <row r="24" spans="1:18" s="5" customFormat="1" ht="15.75" thickBot="1" x14ac:dyDescent="0.3">
      <c r="A24" s="4" t="s">
        <v>41</v>
      </c>
      <c r="B24" s="6" t="s">
        <v>6</v>
      </c>
      <c r="C24" s="94" t="s">
        <v>4</v>
      </c>
      <c r="D24" s="94" t="s">
        <v>7</v>
      </c>
      <c r="E24" s="94" t="s">
        <v>8</v>
      </c>
      <c r="F24" s="6" t="s">
        <v>9</v>
      </c>
      <c r="G24" s="6" t="s">
        <v>10</v>
      </c>
      <c r="H24" s="447" t="s">
        <v>11</v>
      </c>
      <c r="I24" s="94" t="s">
        <v>12</v>
      </c>
      <c r="J24" s="6" t="s">
        <v>13</v>
      </c>
      <c r="K24" s="7" t="s">
        <v>14</v>
      </c>
      <c r="L24" s="6" t="s">
        <v>15</v>
      </c>
      <c r="N24" s="12" t="str">
        <f>A4</f>
        <v>BISTRO</v>
      </c>
      <c r="O24" s="51">
        <f>G8</f>
        <v>0</v>
      </c>
      <c r="Q24" s="458" t="s">
        <v>42</v>
      </c>
      <c r="R24" s="456">
        <f>SUM(J29,J51,O7,J43,J16,J9,R19,J58,R9)</f>
        <v>0</v>
      </c>
    </row>
    <row r="25" spans="1:18" s="5" customFormat="1" ht="14.25" x14ac:dyDescent="0.2">
      <c r="A25" s="54"/>
      <c r="B25" s="35"/>
      <c r="C25" s="44"/>
      <c r="D25" s="44"/>
      <c r="E25" s="46"/>
      <c r="F25" s="45">
        <f>B25-(D25+L25)</f>
        <v>0</v>
      </c>
      <c r="G25" s="46"/>
      <c r="H25" s="449"/>
      <c r="I25" s="464"/>
      <c r="J25" s="35"/>
      <c r="K25" s="24">
        <f>SUM(I25+J25+H25+G25)-F25</f>
        <v>0</v>
      </c>
      <c r="L25" s="46"/>
      <c r="N25" s="508" t="s">
        <v>43</v>
      </c>
      <c r="O25" s="509">
        <f>G50</f>
        <v>0</v>
      </c>
      <c r="Q25" s="2" t="s">
        <v>44</v>
      </c>
      <c r="R25" s="45">
        <f>ROUND(+R24/11,2)</f>
        <v>0</v>
      </c>
    </row>
    <row r="26" spans="1:18" s="5" customFormat="1" ht="14.25" x14ac:dyDescent="0.2">
      <c r="A26" s="54"/>
      <c r="B26" s="35"/>
      <c r="C26" s="44"/>
      <c r="D26" s="44"/>
      <c r="E26" s="46"/>
      <c r="F26" s="45">
        <f>B26-(D26+L26)</f>
        <v>0</v>
      </c>
      <c r="G26" s="46"/>
      <c r="H26" s="449"/>
      <c r="I26" s="464"/>
      <c r="J26" s="35"/>
      <c r="K26" s="24">
        <f>SUM(I26+J26+H26+G26)-F26</f>
        <v>0</v>
      </c>
      <c r="L26" s="46"/>
      <c r="M26" s="61"/>
      <c r="N26" s="12" t="s">
        <v>37</v>
      </c>
      <c r="O26" s="51">
        <f>G22</f>
        <v>0</v>
      </c>
      <c r="Q26" s="2" t="s">
        <v>45</v>
      </c>
      <c r="R26" s="46">
        <f>R39</f>
        <v>0</v>
      </c>
    </row>
    <row r="27" spans="1:18" s="5" customFormat="1" ht="15" thickBot="1" x14ac:dyDescent="0.25">
      <c r="A27" s="54"/>
      <c r="B27" s="35"/>
      <c r="C27" s="44"/>
      <c r="D27" s="44"/>
      <c r="E27" s="46"/>
      <c r="F27" s="45">
        <f>B27-(D27+L27)</f>
        <v>0</v>
      </c>
      <c r="G27" s="46"/>
      <c r="H27" s="449"/>
      <c r="I27" s="464"/>
      <c r="J27" s="35"/>
      <c r="K27" s="24">
        <f>SUM(I27+J27+H27+G27)-F27</f>
        <v>0</v>
      </c>
      <c r="L27" s="46"/>
      <c r="N27" s="12" t="s">
        <v>46</v>
      </c>
      <c r="O27" s="51">
        <f>G28</f>
        <v>0</v>
      </c>
      <c r="Q27" s="13" t="s">
        <v>12</v>
      </c>
      <c r="R27" s="46">
        <f>I57+I42+I36+I28+I22+I15+I8</f>
        <v>0</v>
      </c>
    </row>
    <row r="28" spans="1:18" s="5" customFormat="1" ht="15.75" thickBot="1" x14ac:dyDescent="0.3">
      <c r="A28" s="4" t="s">
        <v>19</v>
      </c>
      <c r="B28" s="47">
        <f>SUM(B25:B27)</f>
        <v>0</v>
      </c>
      <c r="C28" s="47">
        <f t="shared" ref="C28" si="6">SUM(C25:C27)</f>
        <v>0</v>
      </c>
      <c r="D28" s="47">
        <f t="shared" ref="D28:L28" si="7">SUM(D25:D27)</f>
        <v>0</v>
      </c>
      <c r="E28" s="47">
        <f t="shared" si="7"/>
        <v>0</v>
      </c>
      <c r="F28" s="47">
        <f t="shared" si="7"/>
        <v>0</v>
      </c>
      <c r="G28" s="47">
        <f t="shared" si="7"/>
        <v>0</v>
      </c>
      <c r="H28" s="452">
        <f t="shared" si="7"/>
        <v>0</v>
      </c>
      <c r="I28" s="467">
        <f t="shared" si="7"/>
        <v>0</v>
      </c>
      <c r="J28" s="47">
        <f t="shared" si="7"/>
        <v>0</v>
      </c>
      <c r="K28" s="47">
        <f t="shared" si="7"/>
        <v>0</v>
      </c>
      <c r="L28" s="30">
        <f t="shared" si="7"/>
        <v>0</v>
      </c>
      <c r="N28" s="12" t="s">
        <v>47</v>
      </c>
      <c r="O28" s="51">
        <f>G36</f>
        <v>0</v>
      </c>
      <c r="Q28" s="10" t="s">
        <v>10</v>
      </c>
      <c r="R28" s="45">
        <f>O31</f>
        <v>0</v>
      </c>
    </row>
    <row r="29" spans="1:18" s="5" customFormat="1" ht="15.75" thickBot="1" x14ac:dyDescent="0.3">
      <c r="A29" s="9"/>
      <c r="B29" s="60"/>
      <c r="C29" s="61"/>
      <c r="D29" s="61"/>
      <c r="E29" s="61"/>
      <c r="G29" s="8" t="s">
        <v>48</v>
      </c>
      <c r="J29" s="40">
        <f>SUM(G22+H22+I22+J22)+(I28+J28+H28+G28)-C28-E28-C22-E22</f>
        <v>0</v>
      </c>
      <c r="K29" s="9"/>
      <c r="L29" s="3"/>
      <c r="N29" s="12" t="s">
        <v>49</v>
      </c>
      <c r="O29" s="51">
        <f>G42</f>
        <v>0</v>
      </c>
      <c r="Q29" s="457" t="s">
        <v>50</v>
      </c>
      <c r="R29" s="440">
        <f>R24-(R28+R26+R27)</f>
        <v>0</v>
      </c>
    </row>
    <row r="30" spans="1:18" s="5" customFormat="1" ht="15.75" thickBot="1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N30" s="510" t="s">
        <v>5</v>
      </c>
      <c r="O30" s="511">
        <f>G57</f>
        <v>0</v>
      </c>
    </row>
    <row r="31" spans="1:18" s="5" customFormat="1" ht="15.75" thickBot="1" x14ac:dyDescent="0.3">
      <c r="A31" s="9" t="s">
        <v>51</v>
      </c>
      <c r="N31" s="363" t="s">
        <v>17</v>
      </c>
      <c r="O31" s="30">
        <f>SUM(O23:O30)</f>
        <v>0</v>
      </c>
      <c r="Q31" s="4" t="s">
        <v>52</v>
      </c>
      <c r="R31" s="48">
        <f>J8+J15+J22+J28+J36+J42+J50+J57</f>
        <v>0</v>
      </c>
    </row>
    <row r="32" spans="1:18" s="5" customFormat="1" ht="15.75" thickBot="1" x14ac:dyDescent="0.3">
      <c r="A32" s="4" t="s">
        <v>47</v>
      </c>
      <c r="B32" s="6" t="s">
        <v>6</v>
      </c>
      <c r="C32" s="94" t="s">
        <v>4</v>
      </c>
      <c r="D32" s="94" t="s">
        <v>7</v>
      </c>
      <c r="E32" s="94" t="s">
        <v>8</v>
      </c>
      <c r="F32" s="6" t="s">
        <v>9</v>
      </c>
      <c r="G32" s="6" t="s">
        <v>10</v>
      </c>
      <c r="H32" s="447" t="s">
        <v>11</v>
      </c>
      <c r="I32" s="94" t="s">
        <v>12</v>
      </c>
      <c r="J32" s="6" t="s">
        <v>13</v>
      </c>
      <c r="K32" s="336" t="s">
        <v>14</v>
      </c>
      <c r="L32" s="6" t="s">
        <v>15</v>
      </c>
    </row>
    <row r="33" spans="1:18" s="5" customFormat="1" ht="15.75" thickBot="1" x14ac:dyDescent="0.3">
      <c r="A33" s="54"/>
      <c r="B33" s="35"/>
      <c r="C33" s="44"/>
      <c r="D33" s="44"/>
      <c r="E33" s="46"/>
      <c r="F33" s="45">
        <f>B33-(D33+L33)</f>
        <v>0</v>
      </c>
      <c r="G33" s="46"/>
      <c r="H33" s="449"/>
      <c r="I33" s="464"/>
      <c r="J33" s="35"/>
      <c r="K33" s="32">
        <f>SUM(I33+J33+H33+G33)-F33</f>
        <v>0</v>
      </c>
      <c r="L33" s="46"/>
      <c r="Q33" s="4" t="s">
        <v>53</v>
      </c>
      <c r="R33" s="420"/>
    </row>
    <row r="34" spans="1:18" s="5" customFormat="1" ht="14.25" x14ac:dyDescent="0.2">
      <c r="A34" s="54"/>
      <c r="B34" s="35"/>
      <c r="C34" s="44"/>
      <c r="D34" s="44"/>
      <c r="E34" s="46"/>
      <c r="F34" s="45">
        <f>B34-(D34+L34)</f>
        <v>0</v>
      </c>
      <c r="G34" s="46"/>
      <c r="H34" s="449"/>
      <c r="I34" s="464"/>
      <c r="J34" s="35"/>
      <c r="K34" s="36">
        <f>SUM(I34+J34+H34+G34)-F34</f>
        <v>0</v>
      </c>
      <c r="L34" s="46"/>
    </row>
    <row r="35" spans="1:18" s="5" customFormat="1" ht="15" thickBot="1" x14ac:dyDescent="0.25">
      <c r="A35" s="54"/>
      <c r="B35" s="35"/>
      <c r="C35" s="44"/>
      <c r="D35" s="44"/>
      <c r="E35" s="46"/>
      <c r="F35" s="45">
        <f>B35-(D35+L35)</f>
        <v>0</v>
      </c>
      <c r="G35" s="46"/>
      <c r="H35" s="449"/>
      <c r="I35" s="464"/>
      <c r="J35" s="35"/>
      <c r="K35" s="338">
        <f>SUM(I35+J35+H35+G35)-F35</f>
        <v>0</v>
      </c>
      <c r="L35" s="46"/>
      <c r="M35" s="61"/>
    </row>
    <row r="36" spans="1:18" s="5" customFormat="1" ht="15.75" thickBot="1" x14ac:dyDescent="0.3">
      <c r="A36" s="4" t="s">
        <v>19</v>
      </c>
      <c r="B36" s="47">
        <f>SUM(B33:B35)</f>
        <v>0</v>
      </c>
      <c r="C36" s="47">
        <f t="shared" ref="C36" si="8">SUM(C33:C35)</f>
        <v>0</v>
      </c>
      <c r="D36" s="47">
        <f t="shared" ref="D36:L36" si="9">SUM(D33:D35)</f>
        <v>0</v>
      </c>
      <c r="E36" s="47">
        <f t="shared" si="9"/>
        <v>0</v>
      </c>
      <c r="F36" s="47">
        <f t="shared" si="9"/>
        <v>0</v>
      </c>
      <c r="G36" s="47">
        <f t="shared" si="9"/>
        <v>0</v>
      </c>
      <c r="H36" s="452">
        <f t="shared" si="9"/>
        <v>0</v>
      </c>
      <c r="I36" s="467">
        <f t="shared" si="9"/>
        <v>0</v>
      </c>
      <c r="J36" s="47">
        <f>SUM(J33:J35)</f>
        <v>0</v>
      </c>
      <c r="K36" s="337">
        <f>SUM(K33:K35)</f>
        <v>0</v>
      </c>
      <c r="L36" s="30">
        <f t="shared" si="9"/>
        <v>0</v>
      </c>
      <c r="Q36" s="743" t="s">
        <v>54</v>
      </c>
      <c r="R36" s="744"/>
    </row>
    <row r="37" spans="1:18" s="5" customFormat="1" ht="15" thickBot="1" x14ac:dyDescent="0.25">
      <c r="A37" s="3"/>
      <c r="B37" s="331"/>
      <c r="C37" s="331"/>
      <c r="D37" s="331"/>
      <c r="E37" s="331"/>
      <c r="F37" s="61"/>
      <c r="G37" s="331"/>
      <c r="H37" s="331"/>
      <c r="I37" s="331"/>
      <c r="J37" s="331"/>
      <c r="K37" s="61"/>
      <c r="L37" s="331"/>
      <c r="Q37" s="512" t="s">
        <v>55</v>
      </c>
      <c r="R37" s="506"/>
    </row>
    <row r="38" spans="1:18" s="5" customFormat="1" ht="15.75" thickBot="1" x14ac:dyDescent="0.3">
      <c r="A38" s="4" t="s">
        <v>49</v>
      </c>
      <c r="B38" s="6" t="s">
        <v>6</v>
      </c>
      <c r="C38" s="94" t="s">
        <v>4</v>
      </c>
      <c r="D38" s="94" t="s">
        <v>7</v>
      </c>
      <c r="E38" s="94" t="s">
        <v>8</v>
      </c>
      <c r="F38" s="6" t="s">
        <v>9</v>
      </c>
      <c r="G38" s="6" t="s">
        <v>10</v>
      </c>
      <c r="H38" s="447" t="s">
        <v>11</v>
      </c>
      <c r="I38" s="94" t="s">
        <v>12</v>
      </c>
      <c r="J38" s="6" t="s">
        <v>13</v>
      </c>
      <c r="K38" s="7" t="s">
        <v>14</v>
      </c>
      <c r="L38" s="6" t="s">
        <v>15</v>
      </c>
      <c r="Q38" s="513" t="s">
        <v>56</v>
      </c>
      <c r="R38" s="507"/>
    </row>
    <row r="39" spans="1:18" s="5" customFormat="1" ht="15.75" thickBot="1" x14ac:dyDescent="0.3">
      <c r="A39" s="54"/>
      <c r="B39" s="35"/>
      <c r="C39" s="44"/>
      <c r="D39" s="44"/>
      <c r="E39" s="46"/>
      <c r="F39" s="45">
        <f>B39-(D39+L39)</f>
        <v>0</v>
      </c>
      <c r="G39" s="46"/>
      <c r="H39" s="449"/>
      <c r="I39" s="464"/>
      <c r="J39" s="35"/>
      <c r="K39" s="24">
        <f>SUM(I39+J39+H39+G39)-F39</f>
        <v>0</v>
      </c>
      <c r="L39" s="46"/>
      <c r="Q39" s="6" t="s">
        <v>17</v>
      </c>
      <c r="R39" s="505">
        <f>SUM(R37:R38)</f>
        <v>0</v>
      </c>
    </row>
    <row r="40" spans="1:18" s="5" customFormat="1" ht="14.25" x14ac:dyDescent="0.2">
      <c r="A40" s="54"/>
      <c r="B40" s="35"/>
      <c r="C40" s="44"/>
      <c r="D40" s="44"/>
      <c r="E40" s="46"/>
      <c r="F40" s="45">
        <f>B40-(D40+L40)</f>
        <v>0</v>
      </c>
      <c r="G40" s="46"/>
      <c r="H40" s="449"/>
      <c r="I40" s="464"/>
      <c r="J40" s="35"/>
      <c r="K40" s="24">
        <f>SUM(I40+J40+H40+G40)-F40</f>
        <v>0</v>
      </c>
      <c r="L40" s="46"/>
    </row>
    <row r="41" spans="1:18" s="5" customFormat="1" ht="15" thickBot="1" x14ac:dyDescent="0.25">
      <c r="A41" s="54"/>
      <c r="B41" s="35"/>
      <c r="C41" s="44"/>
      <c r="D41" s="44"/>
      <c r="E41" s="46"/>
      <c r="F41" s="45">
        <f>B41-(D41+L41)</f>
        <v>0</v>
      </c>
      <c r="G41" s="46"/>
      <c r="H41" s="449"/>
      <c r="I41" s="464"/>
      <c r="J41" s="35"/>
      <c r="K41" s="24">
        <f>SUM(I41+J41+H41+G41)-F41</f>
        <v>0</v>
      </c>
      <c r="L41" s="46"/>
    </row>
    <row r="42" spans="1:18" s="5" customFormat="1" ht="15.75" thickBot="1" x14ac:dyDescent="0.3">
      <c r="A42" s="4" t="s">
        <v>19</v>
      </c>
      <c r="B42" s="47">
        <f>SUM(B39:B41)</f>
        <v>0</v>
      </c>
      <c r="C42" s="47">
        <f t="shared" ref="C42" si="10">SUM(C39:C41)</f>
        <v>0</v>
      </c>
      <c r="D42" s="47">
        <f t="shared" ref="D42:L42" si="11">SUM(D39:D41)</f>
        <v>0</v>
      </c>
      <c r="E42" s="47">
        <f t="shared" si="11"/>
        <v>0</v>
      </c>
      <c r="F42" s="47">
        <f t="shared" si="11"/>
        <v>0</v>
      </c>
      <c r="G42" s="47">
        <f t="shared" si="11"/>
        <v>0</v>
      </c>
      <c r="H42" s="452">
        <f t="shared" si="11"/>
        <v>0</v>
      </c>
      <c r="I42" s="467">
        <f t="shared" si="11"/>
        <v>0</v>
      </c>
      <c r="J42" s="47">
        <f t="shared" si="11"/>
        <v>0</v>
      </c>
      <c r="K42" s="47">
        <f t="shared" si="11"/>
        <v>0</v>
      </c>
      <c r="L42" s="30">
        <f t="shared" si="11"/>
        <v>0</v>
      </c>
    </row>
    <row r="43" spans="1:18" s="5" customFormat="1" ht="15.75" thickBot="1" x14ac:dyDescent="0.3">
      <c r="A43" s="9"/>
      <c r="B43" s="60"/>
      <c r="C43" s="61"/>
      <c r="D43" s="61"/>
      <c r="E43" s="61"/>
      <c r="G43" s="8" t="s">
        <v>57</v>
      </c>
      <c r="J43" s="40">
        <f>SUM(G36+H36+I36+J36)+(I42+J42+H42+G42)-C36-C42-E36-E42</f>
        <v>0</v>
      </c>
      <c r="K43" s="9"/>
      <c r="L43" s="3"/>
      <c r="M43" s="61"/>
    </row>
    <row r="44" spans="1:18" s="5" customFormat="1" ht="14.25" x14ac:dyDescent="0.2"/>
    <row r="45" spans="1:18" s="5" customFormat="1" ht="15.75" hidden="1" thickBot="1" x14ac:dyDescent="0.3">
      <c r="A45" s="478" t="s">
        <v>58</v>
      </c>
      <c r="B45" s="447" t="s">
        <v>6</v>
      </c>
      <c r="C45" s="454" t="s">
        <v>7</v>
      </c>
      <c r="D45" s="473" t="s">
        <v>7</v>
      </c>
      <c r="E45" s="473" t="s">
        <v>8</v>
      </c>
      <c r="F45" s="447" t="s">
        <v>9</v>
      </c>
      <c r="G45" s="447" t="s">
        <v>10</v>
      </c>
      <c r="H45" s="447" t="s">
        <v>11</v>
      </c>
      <c r="I45" s="473" t="s">
        <v>12</v>
      </c>
      <c r="J45" s="447" t="s">
        <v>13</v>
      </c>
      <c r="K45" s="479" t="s">
        <v>14</v>
      </c>
      <c r="L45" s="447" t="s">
        <v>15</v>
      </c>
    </row>
    <row r="46" spans="1:18" s="5" customFormat="1" ht="14.25" hidden="1" x14ac:dyDescent="0.2">
      <c r="A46" s="480"/>
      <c r="B46" s="481"/>
      <c r="C46" s="455"/>
      <c r="D46" s="482"/>
      <c r="E46" s="483"/>
      <c r="F46" s="449">
        <f>B46-(D46+L46)</f>
        <v>0</v>
      </c>
      <c r="G46" s="483"/>
      <c r="H46" s="449"/>
      <c r="I46" s="474"/>
      <c r="J46" s="481"/>
      <c r="K46" s="484">
        <f>SUM(I46+J46+H46+G46)-F46</f>
        <v>0</v>
      </c>
      <c r="L46" s="483"/>
    </row>
    <row r="47" spans="1:18" s="5" customFormat="1" ht="14.25" hidden="1" x14ac:dyDescent="0.2">
      <c r="A47" s="480"/>
      <c r="B47" s="481"/>
      <c r="C47" s="455"/>
      <c r="D47" s="482"/>
      <c r="E47" s="483"/>
      <c r="F47" s="449">
        <f>B47-(D47+L47)</f>
        <v>0</v>
      </c>
      <c r="G47" s="483"/>
      <c r="H47" s="449"/>
      <c r="I47" s="474"/>
      <c r="J47" s="481"/>
      <c r="K47" s="485">
        <f>SUM(I47+J47+H47+G47)-F47</f>
        <v>0</v>
      </c>
      <c r="L47" s="483"/>
    </row>
    <row r="48" spans="1:18" s="5" customFormat="1" ht="14.25" hidden="1" x14ac:dyDescent="0.2">
      <c r="A48" s="480"/>
      <c r="B48" s="481"/>
      <c r="C48" s="455"/>
      <c r="D48" s="482"/>
      <c r="E48" s="483"/>
      <c r="F48" s="449">
        <f>B48-(D48+L48)</f>
        <v>0</v>
      </c>
      <c r="G48" s="483"/>
      <c r="H48" s="449"/>
      <c r="I48" s="474"/>
      <c r="J48" s="481"/>
      <c r="K48" s="485">
        <f>SUM(I48+J48+H48+G48)-F48</f>
        <v>0</v>
      </c>
      <c r="L48" s="483"/>
    </row>
    <row r="49" spans="1:12" s="5" customFormat="1" ht="15" hidden="1" thickBot="1" x14ac:dyDescent="0.25">
      <c r="A49" s="480"/>
      <c r="B49" s="481"/>
      <c r="C49" s="455"/>
      <c r="D49" s="482"/>
      <c r="E49" s="483"/>
      <c r="F49" s="449">
        <f>B49-(D49+L49)</f>
        <v>0</v>
      </c>
      <c r="G49" s="483"/>
      <c r="H49" s="449"/>
      <c r="I49" s="474"/>
      <c r="J49" s="481"/>
      <c r="K49" s="485">
        <f>SUM(I49+J49+H49+G49)-F49</f>
        <v>0</v>
      </c>
      <c r="L49" s="483"/>
    </row>
    <row r="50" spans="1:12" s="5" customFormat="1" ht="15.75" hidden="1" thickBot="1" x14ac:dyDescent="0.3">
      <c r="A50" s="478" t="s">
        <v>19</v>
      </c>
      <c r="B50" s="452">
        <f t="shared" ref="B50:L50" si="12">SUM(B46:B49)</f>
        <v>0</v>
      </c>
      <c r="C50" s="450">
        <f t="shared" ref="C50" si="13">SUM(C46:C49)</f>
        <v>0</v>
      </c>
      <c r="D50" s="450">
        <f t="shared" si="12"/>
        <v>0</v>
      </c>
      <c r="E50" s="450">
        <f t="shared" si="12"/>
        <v>0</v>
      </c>
      <c r="F50" s="453">
        <f t="shared" si="12"/>
        <v>0</v>
      </c>
      <c r="G50" s="450">
        <f t="shared" si="12"/>
        <v>0</v>
      </c>
      <c r="H50" s="453">
        <f t="shared" si="12"/>
        <v>0</v>
      </c>
      <c r="I50" s="450">
        <f>SUM(I46:I49)</f>
        <v>0</v>
      </c>
      <c r="J50" s="450">
        <f t="shared" si="12"/>
        <v>0</v>
      </c>
      <c r="K50" s="450">
        <f t="shared" si="12"/>
        <v>0</v>
      </c>
      <c r="L50" s="59">
        <f t="shared" si="12"/>
        <v>0</v>
      </c>
    </row>
    <row r="51" spans="1:12" s="5" customFormat="1" ht="15.75" hidden="1" thickBot="1" x14ac:dyDescent="0.3">
      <c r="A51" s="486"/>
      <c r="B51" s="487"/>
      <c r="C51" s="488"/>
      <c r="D51" s="488"/>
      <c r="E51" s="488"/>
      <c r="F51" s="489"/>
      <c r="G51" s="490" t="s">
        <v>59</v>
      </c>
      <c r="H51" s="489"/>
      <c r="I51" s="489"/>
      <c r="J51" s="491">
        <f>SUM(I50+J50+H50+G50)-E50</f>
        <v>0</v>
      </c>
      <c r="K51" s="486"/>
      <c r="L51" s="492"/>
    </row>
    <row r="52" spans="1:12" s="5" customFormat="1" ht="15" hidden="1" thickBot="1" x14ac:dyDescent="0.25">
      <c r="A52" s="489"/>
      <c r="B52" s="489"/>
      <c r="C52" s="489"/>
      <c r="D52" s="489"/>
      <c r="E52" s="489"/>
      <c r="F52" s="489"/>
      <c r="G52" s="489"/>
      <c r="H52" s="489"/>
      <c r="I52" s="489"/>
      <c r="J52" s="489"/>
      <c r="K52" s="489"/>
      <c r="L52" s="489"/>
    </row>
    <row r="53" spans="1:12" s="5" customFormat="1" ht="15.75" hidden="1" thickBot="1" x14ac:dyDescent="0.3">
      <c r="A53" s="478" t="s">
        <v>20</v>
      </c>
      <c r="B53" s="447" t="s">
        <v>6</v>
      </c>
      <c r="C53" s="473" t="s">
        <v>4</v>
      </c>
      <c r="D53" s="473" t="s">
        <v>7</v>
      </c>
      <c r="E53" s="473" t="s">
        <v>8</v>
      </c>
      <c r="F53" s="447" t="s">
        <v>9</v>
      </c>
      <c r="G53" s="447" t="s">
        <v>10</v>
      </c>
      <c r="H53" s="447" t="s">
        <v>11</v>
      </c>
      <c r="I53" s="473" t="s">
        <v>12</v>
      </c>
      <c r="J53" s="447" t="s">
        <v>13</v>
      </c>
      <c r="K53" s="479" t="s">
        <v>14</v>
      </c>
      <c r="L53" s="447" t="s">
        <v>15</v>
      </c>
    </row>
    <row r="54" spans="1:12" s="5" customFormat="1" ht="14.25" hidden="1" x14ac:dyDescent="0.2">
      <c r="A54" s="480"/>
      <c r="B54" s="481"/>
      <c r="C54" s="482"/>
      <c r="D54" s="482"/>
      <c r="E54" s="483"/>
      <c r="F54" s="449">
        <f>B54-(D54+L54)</f>
        <v>0</v>
      </c>
      <c r="G54" s="483"/>
      <c r="H54" s="449"/>
      <c r="I54" s="474"/>
      <c r="J54" s="481"/>
      <c r="K54" s="485">
        <f>SUM(I54+J54+H54+G54)-F54</f>
        <v>0</v>
      </c>
      <c r="L54" s="483"/>
    </row>
    <row r="55" spans="1:12" s="5" customFormat="1" ht="14.25" hidden="1" x14ac:dyDescent="0.2">
      <c r="A55" s="480"/>
      <c r="B55" s="481"/>
      <c r="C55" s="482"/>
      <c r="D55" s="482"/>
      <c r="E55" s="483"/>
      <c r="F55" s="449">
        <f>B55-(D55+L55)</f>
        <v>0</v>
      </c>
      <c r="G55" s="483"/>
      <c r="H55" s="449"/>
      <c r="I55" s="474"/>
      <c r="J55" s="481"/>
      <c r="K55" s="485">
        <f>SUM(I55+J55+H55+G55)-F55</f>
        <v>0</v>
      </c>
      <c r="L55" s="483"/>
    </row>
    <row r="56" spans="1:12" ht="15" hidden="1" thickBot="1" x14ac:dyDescent="0.25">
      <c r="A56" s="480"/>
      <c r="B56" s="481"/>
      <c r="C56" s="482"/>
      <c r="D56" s="482"/>
      <c r="E56" s="483"/>
      <c r="F56" s="449">
        <f>B56-(D56+L56)</f>
        <v>0</v>
      </c>
      <c r="G56" s="483"/>
      <c r="H56" s="449"/>
      <c r="I56" s="474"/>
      <c r="J56" s="481"/>
      <c r="K56" s="485">
        <f>SUM(I56+J56+H56+G56)-F56</f>
        <v>0</v>
      </c>
      <c r="L56" s="483"/>
    </row>
    <row r="57" spans="1:12" ht="15.75" hidden="1" thickBot="1" x14ac:dyDescent="0.3">
      <c r="A57" s="478" t="s">
        <v>19</v>
      </c>
      <c r="B57" s="452">
        <f>SUM(B54:B56)</f>
        <v>0</v>
      </c>
      <c r="C57" s="452">
        <f t="shared" ref="C57:L57" si="14">SUM(C54:C56)</f>
        <v>0</v>
      </c>
      <c r="D57" s="452">
        <f t="shared" si="14"/>
        <v>0</v>
      </c>
      <c r="E57" s="452">
        <f>SUM(E54:E56)</f>
        <v>0</v>
      </c>
      <c r="F57" s="452">
        <f t="shared" si="14"/>
        <v>0</v>
      </c>
      <c r="G57" s="452">
        <f t="shared" si="14"/>
        <v>0</v>
      </c>
      <c r="H57" s="452">
        <f t="shared" si="14"/>
        <v>0</v>
      </c>
      <c r="I57" s="452">
        <f t="shared" si="14"/>
        <v>0</v>
      </c>
      <c r="J57" s="452">
        <f t="shared" si="14"/>
        <v>0</v>
      </c>
      <c r="K57" s="452">
        <f t="shared" si="14"/>
        <v>0</v>
      </c>
      <c r="L57" s="450">
        <f t="shared" si="14"/>
        <v>0</v>
      </c>
    </row>
    <row r="58" spans="1:12" ht="15.75" hidden="1" thickBot="1" x14ac:dyDescent="0.3">
      <c r="A58" s="486"/>
      <c r="B58" s="487"/>
      <c r="C58" s="488"/>
      <c r="D58" s="488"/>
      <c r="E58" s="488"/>
      <c r="F58" s="489"/>
      <c r="G58" s="490" t="s">
        <v>60</v>
      </c>
      <c r="H58" s="489"/>
      <c r="I58" s="493"/>
      <c r="J58" s="491">
        <f>SUM(I57+J57+H57+G57)-C57-E57</f>
        <v>0</v>
      </c>
      <c r="K58" s="486"/>
      <c r="L58" s="492"/>
    </row>
    <row r="59" spans="1:12" ht="14.25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14.25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14.25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14.25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14.25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</sheetData>
  <sheetProtection algorithmName="SHA-512" hashValue="qslk9tbw3iRREmoLnW12nBlfaTXSjGhM4Gpgr8Rty0sy+c9hpMpQSMdNJ8DO5r8D/YwqNG1VjV6x0hrcG68BwQ==" saltValue="X5eNacC3zPFJAQPD2jYsrg==" spinCount="100000" sheet="1" objects="1" scenarios="1"/>
  <mergeCells count="3">
    <mergeCell ref="A1:L1"/>
    <mergeCell ref="A2:L2"/>
    <mergeCell ref="Q36:R36"/>
  </mergeCells>
  <phoneticPr fontId="39" type="noConversion"/>
  <printOptions horizontalCentered="1" verticalCentered="1"/>
  <pageMargins left="0.74803149606299213" right="0.74803149606299213" top="0.15748031496062992" bottom="0.15748031496062992" header="0.15748031496062992" footer="0.15748031496062992"/>
  <pageSetup paperSize="9" scale="61" orientation="landscape" r:id="rId1"/>
  <headerFooter alignWithMargins="0"/>
  <colBreaks count="1" manualBreakCount="1">
    <brk id="12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Button 1">
              <controlPr defaultSize="0" print="0" autoFill="0" autoPict="0">
                <anchor moveWithCells="1" sizeWithCells="1">
                  <from>
                    <xdr:col>14</xdr:col>
                    <xdr:colOff>0</xdr:colOff>
                    <xdr:row>42</xdr:row>
                    <xdr:rowOff>0</xdr:rowOff>
                  </from>
                  <to>
                    <xdr:col>14</xdr:col>
                    <xdr:colOff>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Button 2">
              <controlPr defaultSize="0" print="0" autoFill="0" autoPict="0">
                <anchor moveWithCells="1" sizeWithCells="1">
                  <from>
                    <xdr:col>14</xdr:col>
                    <xdr:colOff>0</xdr:colOff>
                    <xdr:row>42</xdr:row>
                    <xdr:rowOff>0</xdr:rowOff>
                  </from>
                  <to>
                    <xdr:col>14</xdr:col>
                    <xdr:colOff>0</xdr:colOff>
                    <xdr:row>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Button 3">
              <controlPr defaultSize="0" print="0" autoFill="0" autoPict="0">
                <anchor moveWithCells="1" sizeWithCells="1">
                  <from>
                    <xdr:col>13</xdr:col>
                    <xdr:colOff>0</xdr:colOff>
                    <xdr:row>40</xdr:row>
                    <xdr:rowOff>0</xdr:rowOff>
                  </from>
                  <to>
                    <xdr:col>13</xdr:col>
                    <xdr:colOff>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Button 4">
              <controlPr defaultSize="0" print="0" autoFill="0" autoPict="0">
                <anchor moveWithCells="1" sizeWithCells="1">
                  <from>
                    <xdr:col>13</xdr:col>
                    <xdr:colOff>0</xdr:colOff>
                    <xdr:row>40</xdr:row>
                    <xdr:rowOff>0</xdr:rowOff>
                  </from>
                  <to>
                    <xdr:col>13</xdr:col>
                    <xdr:colOff>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Button 5">
              <controlPr defaultSize="0" print="0" autoFill="0" autoPict="0">
                <anchor moveWithCells="1" sizeWithCells="1">
                  <from>
                    <xdr:col>13</xdr:col>
                    <xdr:colOff>0</xdr:colOff>
                    <xdr:row>40</xdr:row>
                    <xdr:rowOff>0</xdr:rowOff>
                  </from>
                  <to>
                    <xdr:col>13</xdr:col>
                    <xdr:colOff>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Button 6">
              <controlPr defaultSize="0" print="0" autoFill="0" autoPict="0">
                <anchor moveWithCells="1" sizeWithCells="1">
                  <from>
                    <xdr:col>13</xdr:col>
                    <xdr:colOff>0</xdr:colOff>
                    <xdr:row>40</xdr:row>
                    <xdr:rowOff>0</xdr:rowOff>
                  </from>
                  <to>
                    <xdr:col>13</xdr:col>
                    <xdr:colOff>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Button 7">
              <controlPr defaultSize="0" print="0" autoFill="0" autoPict="0">
                <anchor moveWithCells="1" sizeWithCells="1">
                  <from>
                    <xdr:col>14</xdr:col>
                    <xdr:colOff>0</xdr:colOff>
                    <xdr:row>42</xdr:row>
                    <xdr:rowOff>0</xdr:rowOff>
                  </from>
                  <to>
                    <xdr:col>14</xdr:col>
                    <xdr:colOff>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Button 8">
              <controlPr defaultSize="0" print="0" autoFill="0" autoPict="0">
                <anchor moveWithCells="1" sizeWithCells="1">
                  <from>
                    <xdr:col>14</xdr:col>
                    <xdr:colOff>0</xdr:colOff>
                    <xdr:row>42</xdr:row>
                    <xdr:rowOff>0</xdr:rowOff>
                  </from>
                  <to>
                    <xdr:col>14</xdr:col>
                    <xdr:colOff>0</xdr:colOff>
                    <xdr:row>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Button 9">
              <controlPr defaultSize="0" print="0" autoFill="0" autoPict="0">
                <anchor moveWithCells="1" sizeWithCells="1">
                  <from>
                    <xdr:col>13</xdr:col>
                    <xdr:colOff>0</xdr:colOff>
                    <xdr:row>40</xdr:row>
                    <xdr:rowOff>0</xdr:rowOff>
                  </from>
                  <to>
                    <xdr:col>13</xdr:col>
                    <xdr:colOff>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Button 10">
              <controlPr defaultSize="0" print="0" autoFill="0" autoPict="0">
                <anchor moveWithCells="1" sizeWithCells="1">
                  <from>
                    <xdr:col>13</xdr:col>
                    <xdr:colOff>0</xdr:colOff>
                    <xdr:row>40</xdr:row>
                    <xdr:rowOff>0</xdr:rowOff>
                  </from>
                  <to>
                    <xdr:col>13</xdr:col>
                    <xdr:colOff>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Button 11">
              <controlPr defaultSize="0" print="0" autoFill="0" autoPict="0">
                <anchor moveWithCells="1" sizeWithCells="1">
                  <from>
                    <xdr:col>14</xdr:col>
                    <xdr:colOff>0</xdr:colOff>
                    <xdr:row>35</xdr:row>
                    <xdr:rowOff>0</xdr:rowOff>
                  </from>
                  <to>
                    <xdr:col>14</xdr:col>
                    <xdr:colOff>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Button 12">
              <controlPr defaultSize="0" print="0" autoFill="0" autoPict="0">
                <anchor moveWithCells="1" sizeWithCells="1">
                  <from>
                    <xdr:col>14</xdr:col>
                    <xdr:colOff>0</xdr:colOff>
                    <xdr:row>35</xdr:row>
                    <xdr:rowOff>0</xdr:rowOff>
                  </from>
                  <to>
                    <xdr:col>14</xdr:col>
                    <xdr:colOff>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Button 13">
              <controlPr defaultSize="0" print="0" autoFill="0" autoPict="0">
                <anchor moveWithCells="1" sizeWithCells="1">
                  <from>
                    <xdr:col>14</xdr:col>
                    <xdr:colOff>0</xdr:colOff>
                    <xdr:row>35</xdr:row>
                    <xdr:rowOff>0</xdr:rowOff>
                  </from>
                  <to>
                    <xdr:col>14</xdr:col>
                    <xdr:colOff>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Button 14">
              <controlPr defaultSize="0" print="0" autoFill="0" autoPict="0">
                <anchor moveWithCells="1" sizeWithCells="1">
                  <from>
                    <xdr:col>14</xdr:col>
                    <xdr:colOff>0</xdr:colOff>
                    <xdr:row>35</xdr:row>
                    <xdr:rowOff>0</xdr:rowOff>
                  </from>
                  <to>
                    <xdr:col>14</xdr:col>
                    <xdr:colOff>0</xdr:colOff>
                    <xdr:row>35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/>
  <dimension ref="A1:P108"/>
  <sheetViews>
    <sheetView topLeftCell="A7" zoomScale="70" zoomScaleNormal="70" workbookViewId="0">
      <selection activeCell="A9" sqref="A9:A15"/>
    </sheetView>
  </sheetViews>
  <sheetFormatPr defaultColWidth="9.140625" defaultRowHeight="16.5" x14ac:dyDescent="0.3"/>
  <cols>
    <col min="1" max="1" width="36.85546875" style="193" customWidth="1"/>
    <col min="2" max="4" width="19.28515625" style="193" customWidth="1"/>
    <col min="5" max="5" width="2.7109375" style="193" customWidth="1"/>
    <col min="6" max="10" width="19.140625" style="193" customWidth="1"/>
    <col min="11" max="16384" width="9.140625" style="193"/>
  </cols>
  <sheetData>
    <row r="1" spans="1:10" ht="27" customHeight="1" x14ac:dyDescent="0.35">
      <c r="A1" s="625" t="s">
        <v>61</v>
      </c>
      <c r="B1" s="626"/>
      <c r="C1" s="626"/>
      <c r="D1" s="626"/>
    </row>
    <row r="2" spans="1:10" ht="27" customHeight="1" x14ac:dyDescent="0.3">
      <c r="A2" s="627">
        <f>Wed!L3</f>
        <v>46057</v>
      </c>
      <c r="B2" s="628"/>
      <c r="C2" s="628"/>
      <c r="D2" s="628"/>
    </row>
    <row r="3" spans="1:10" ht="27" customHeight="1" x14ac:dyDescent="0.3">
      <c r="A3" s="629" t="s">
        <v>163</v>
      </c>
      <c r="B3" s="630"/>
      <c r="C3" s="630"/>
      <c r="D3" s="630"/>
    </row>
    <row r="4" spans="1:10" ht="17.25" thickBot="1" x14ac:dyDescent="0.35">
      <c r="A4" s="194"/>
      <c r="B4" s="195"/>
      <c r="C4" s="196"/>
      <c r="D4" s="196"/>
    </row>
    <row r="5" spans="1:10" ht="24" customHeight="1" thickBot="1" x14ac:dyDescent="0.35">
      <c r="A5" s="431" t="s">
        <v>63</v>
      </c>
      <c r="B5" s="426" t="s">
        <v>164</v>
      </c>
      <c r="C5" s="197" t="s">
        <v>161</v>
      </c>
      <c r="F5" s="342" t="s">
        <v>65</v>
      </c>
      <c r="G5" s="475">
        <f>SUM(G6:G9)</f>
        <v>0</v>
      </c>
    </row>
    <row r="6" spans="1:10" ht="24" customHeight="1" x14ac:dyDescent="0.3">
      <c r="A6" s="432" t="s">
        <v>66</v>
      </c>
      <c r="B6" s="427">
        <f>Takings!B26</f>
        <v>0</v>
      </c>
      <c r="C6" s="199">
        <f>SUM(Takings!B24:B26)</f>
        <v>0</v>
      </c>
      <c r="F6" s="340" t="s">
        <v>70</v>
      </c>
      <c r="G6" s="341">
        <f>Takings!C7</f>
        <v>0</v>
      </c>
    </row>
    <row r="7" spans="1:10" ht="24" customHeight="1" x14ac:dyDescent="0.3">
      <c r="A7" s="355" t="s">
        <v>68</v>
      </c>
      <c r="B7" s="428">
        <f>Takings!C26</f>
        <v>0</v>
      </c>
      <c r="C7" s="201">
        <f>SUM(Takings!C24:C26)</f>
        <v>0</v>
      </c>
      <c r="F7" s="340" t="s">
        <v>329</v>
      </c>
      <c r="G7" s="341">
        <f>Takings!D7</f>
        <v>0</v>
      </c>
    </row>
    <row r="8" spans="1:10" ht="24" customHeight="1" x14ac:dyDescent="0.3">
      <c r="A8" s="355" t="s">
        <v>69</v>
      </c>
      <c r="B8" s="428">
        <f>Takings!I7</f>
        <v>0</v>
      </c>
      <c r="C8" s="201">
        <f>SUM(Takings!I5:I7)</f>
        <v>0</v>
      </c>
      <c r="F8" s="200" t="s">
        <v>67</v>
      </c>
      <c r="G8" s="201">
        <f>Takings!E7</f>
        <v>0</v>
      </c>
    </row>
    <row r="9" spans="1:10" ht="24" customHeight="1" thickBot="1" x14ac:dyDescent="0.35">
      <c r="A9" s="846" t="s">
        <v>71</v>
      </c>
      <c r="B9" s="429"/>
      <c r="C9" s="302"/>
      <c r="F9" s="202" t="s">
        <v>330</v>
      </c>
      <c r="G9" s="203">
        <f>Takings!F7</f>
        <v>0</v>
      </c>
    </row>
    <row r="10" spans="1:10" ht="24" customHeight="1" x14ac:dyDescent="0.3">
      <c r="A10" s="846" t="s">
        <v>72</v>
      </c>
      <c r="B10" s="429"/>
      <c r="C10" s="302"/>
    </row>
    <row r="11" spans="1:10" ht="24" customHeight="1" x14ac:dyDescent="0.3">
      <c r="A11" s="846" t="s">
        <v>73</v>
      </c>
      <c r="B11" s="429"/>
      <c r="C11" s="302"/>
    </row>
    <row r="12" spans="1:10" ht="24" customHeight="1" x14ac:dyDescent="0.3">
      <c r="A12" s="846" t="s">
        <v>339</v>
      </c>
      <c r="B12" s="429"/>
      <c r="C12" s="302"/>
    </row>
    <row r="13" spans="1:10" ht="24" customHeight="1" thickBot="1" x14ac:dyDescent="0.35">
      <c r="A13" s="846" t="s">
        <v>337</v>
      </c>
      <c r="B13" s="429"/>
      <c r="C13" s="302"/>
    </row>
    <row r="14" spans="1:10" ht="24" customHeight="1" thickBot="1" x14ac:dyDescent="0.35">
      <c r="A14" s="846" t="s">
        <v>338</v>
      </c>
      <c r="B14" s="429"/>
      <c r="C14" s="302"/>
      <c r="F14" s="722" t="s">
        <v>74</v>
      </c>
      <c r="G14" s="723"/>
      <c r="H14" s="723"/>
      <c r="I14" s="723"/>
      <c r="J14" s="724"/>
    </row>
    <row r="15" spans="1:10" ht="24" customHeight="1" thickBot="1" x14ac:dyDescent="0.35">
      <c r="A15" s="846" t="s">
        <v>75</v>
      </c>
      <c r="B15" s="429"/>
      <c r="C15" s="302"/>
      <c r="F15" s="578" t="s">
        <v>76</v>
      </c>
      <c r="G15" s="585"/>
      <c r="H15" s="578" t="s">
        <v>77</v>
      </c>
      <c r="I15" s="725"/>
      <c r="J15" s="726"/>
    </row>
    <row r="16" spans="1:10" ht="24" customHeight="1" x14ac:dyDescent="0.3">
      <c r="A16" s="355" t="s">
        <v>65</v>
      </c>
      <c r="B16" s="428">
        <f>Takings!D46</f>
        <v>0</v>
      </c>
      <c r="C16" s="201">
        <f>SUM(Takings!B46:D46)</f>
        <v>0</v>
      </c>
      <c r="F16" s="727" t="s">
        <v>78</v>
      </c>
      <c r="G16" s="735"/>
      <c r="H16" s="730"/>
      <c r="I16" s="730"/>
      <c r="J16" s="731"/>
    </row>
    <row r="17" spans="1:10" ht="24" customHeight="1" thickBot="1" x14ac:dyDescent="0.35">
      <c r="A17" s="355" t="s">
        <v>79</v>
      </c>
      <c r="B17" s="428">
        <f>Takings!D49</f>
        <v>0</v>
      </c>
      <c r="C17" s="201">
        <f>SUM(Takings!B49:D49)</f>
        <v>0</v>
      </c>
      <c r="F17" s="728"/>
      <c r="G17" s="732"/>
      <c r="H17" s="733"/>
      <c r="I17" s="733"/>
      <c r="J17" s="734"/>
    </row>
    <row r="18" spans="1:10" ht="24" customHeight="1" x14ac:dyDescent="0.3">
      <c r="A18" s="514" t="s">
        <v>80</v>
      </c>
      <c r="B18" s="516">
        <f>Takings!H7</f>
        <v>0</v>
      </c>
      <c r="C18" s="517">
        <f>SUM(Takings!H5:H7)</f>
        <v>0</v>
      </c>
      <c r="F18" s="727" t="s">
        <v>81</v>
      </c>
      <c r="G18" s="735"/>
      <c r="H18" s="730"/>
      <c r="I18" s="730"/>
      <c r="J18" s="731"/>
    </row>
    <row r="19" spans="1:10" ht="24" customHeight="1" thickBot="1" x14ac:dyDescent="0.35">
      <c r="A19" s="433" t="s">
        <v>22</v>
      </c>
      <c r="B19" s="430">
        <f>Takings!L39</f>
        <v>0</v>
      </c>
      <c r="C19" s="203">
        <f>SUM(Takings!L37:L39)</f>
        <v>0</v>
      </c>
      <c r="F19" s="728"/>
      <c r="G19" s="732"/>
      <c r="H19" s="733"/>
      <c r="I19" s="733"/>
      <c r="J19" s="734"/>
    </row>
    <row r="20" spans="1:10" ht="39" customHeight="1" thickBot="1" x14ac:dyDescent="0.35">
      <c r="F20" s="736" t="s">
        <v>331</v>
      </c>
      <c r="G20" s="737"/>
      <c r="H20" s="737"/>
      <c r="I20" s="737"/>
      <c r="J20" s="738"/>
    </row>
    <row r="21" spans="1:10" ht="24" customHeight="1" thickBot="1" x14ac:dyDescent="0.35">
      <c r="A21" s="204"/>
      <c r="B21" s="205" t="s">
        <v>82</v>
      </c>
      <c r="C21" s="206" t="s">
        <v>83</v>
      </c>
      <c r="D21" s="207" t="s">
        <v>84</v>
      </c>
      <c r="F21" s="578" t="s">
        <v>79</v>
      </c>
      <c r="G21" s="583">
        <f>Wed!C22+Wed!C28</f>
        <v>0</v>
      </c>
      <c r="H21" s="578" t="s">
        <v>85</v>
      </c>
      <c r="I21" s="668">
        <f>Wed!J29</f>
        <v>0</v>
      </c>
      <c r="J21" s="669"/>
    </row>
    <row r="22" spans="1:10" ht="24" customHeight="1" thickBot="1" x14ac:dyDescent="0.35">
      <c r="A22" s="210" t="s">
        <v>86</v>
      </c>
      <c r="B22" s="211"/>
      <c r="C22" s="212"/>
      <c r="D22" s="213"/>
      <c r="F22" s="657" t="s">
        <v>87</v>
      </c>
      <c r="G22" s="659"/>
      <c r="H22" s="660"/>
      <c r="I22" s="660"/>
      <c r="J22" s="661"/>
    </row>
    <row r="23" spans="1:10" ht="24" customHeight="1" thickBot="1" x14ac:dyDescent="0.35">
      <c r="A23" s="230"/>
      <c r="B23" s="642" t="s">
        <v>88</v>
      </c>
      <c r="C23" s="643"/>
      <c r="D23" s="644"/>
      <c r="F23" s="658"/>
      <c r="G23" s="662"/>
      <c r="H23" s="663"/>
      <c r="I23" s="663"/>
      <c r="J23" s="664"/>
    </row>
    <row r="24" spans="1:10" ht="24" customHeight="1" x14ac:dyDescent="0.3">
      <c r="A24" s="220" t="s">
        <v>89</v>
      </c>
      <c r="B24" s="319">
        <f>G75</f>
        <v>0</v>
      </c>
      <c r="C24" s="320" t="s">
        <v>90</v>
      </c>
      <c r="D24" s="324"/>
      <c r="F24" s="657" t="s">
        <v>91</v>
      </c>
      <c r="G24" s="670"/>
      <c r="H24" s="671"/>
      <c r="I24" s="671"/>
      <c r="J24" s="672"/>
    </row>
    <row r="25" spans="1:10" ht="24" customHeight="1" thickBot="1" x14ac:dyDescent="0.35">
      <c r="A25" s="220" t="s">
        <v>92</v>
      </c>
      <c r="B25" s="631"/>
      <c r="C25" s="632"/>
      <c r="D25" s="633"/>
      <c r="F25" s="658"/>
      <c r="G25" s="673"/>
      <c r="H25" s="674"/>
      <c r="I25" s="674"/>
      <c r="J25" s="675"/>
    </row>
    <row r="26" spans="1:10" ht="24" customHeight="1" x14ac:dyDescent="0.3">
      <c r="A26" s="220" t="s">
        <v>93</v>
      </c>
      <c r="B26" s="631"/>
      <c r="C26" s="632"/>
      <c r="D26" s="633"/>
      <c r="F26" s="657" t="s">
        <v>94</v>
      </c>
      <c r="G26" s="659"/>
      <c r="H26" s="660"/>
      <c r="I26" s="660"/>
      <c r="J26" s="661"/>
    </row>
    <row r="27" spans="1:10" ht="24" customHeight="1" thickBot="1" x14ac:dyDescent="0.35">
      <c r="A27" s="225" t="s">
        <v>95</v>
      </c>
      <c r="B27" s="634"/>
      <c r="C27" s="634"/>
      <c r="D27" s="635"/>
      <c r="F27" s="658"/>
      <c r="G27" s="662"/>
      <c r="H27" s="663"/>
      <c r="I27" s="663"/>
      <c r="J27" s="664"/>
    </row>
    <row r="28" spans="1:10" ht="24" customHeight="1" thickBot="1" x14ac:dyDescent="0.35">
      <c r="A28" s="219" t="s">
        <v>96</v>
      </c>
      <c r="B28" s="321">
        <f>B6-B24</f>
        <v>0</v>
      </c>
      <c r="C28" s="322" t="s">
        <v>90</v>
      </c>
      <c r="D28" s="323"/>
      <c r="F28" s="665" t="s">
        <v>329</v>
      </c>
      <c r="G28" s="666"/>
      <c r="H28" s="666"/>
      <c r="I28" s="666"/>
      <c r="J28" s="667"/>
    </row>
    <row r="29" spans="1:10" ht="24" customHeight="1" thickBot="1" x14ac:dyDescent="0.35">
      <c r="A29" s="220" t="s">
        <v>97</v>
      </c>
      <c r="B29" s="631"/>
      <c r="C29" s="632"/>
      <c r="D29" s="633"/>
      <c r="F29" s="578" t="s">
        <v>79</v>
      </c>
      <c r="G29" s="583">
        <f>Wed!C8</f>
        <v>0</v>
      </c>
      <c r="H29" s="578" t="s">
        <v>85</v>
      </c>
      <c r="I29" s="668">
        <f>Wed!J9</f>
        <v>0</v>
      </c>
      <c r="J29" s="669"/>
    </row>
    <row r="30" spans="1:10" ht="24" customHeight="1" x14ac:dyDescent="0.3">
      <c r="A30" s="220" t="s">
        <v>93</v>
      </c>
      <c r="B30" s="631"/>
      <c r="C30" s="632"/>
      <c r="D30" s="633"/>
      <c r="F30" s="657" t="s">
        <v>87</v>
      </c>
      <c r="G30" s="659"/>
      <c r="H30" s="660"/>
      <c r="I30" s="660"/>
      <c r="J30" s="661"/>
    </row>
    <row r="31" spans="1:10" ht="24" customHeight="1" thickBot="1" x14ac:dyDescent="0.35">
      <c r="A31" s="225" t="s">
        <v>95</v>
      </c>
      <c r="B31" s="634"/>
      <c r="C31" s="679"/>
      <c r="D31" s="680"/>
      <c r="F31" s="658"/>
      <c r="G31" s="662"/>
      <c r="H31" s="663"/>
      <c r="I31" s="663"/>
      <c r="J31" s="664"/>
    </row>
    <row r="32" spans="1:10" ht="24" customHeight="1" x14ac:dyDescent="0.3">
      <c r="A32" s="220"/>
      <c r="B32" s="698" t="s">
        <v>332</v>
      </c>
      <c r="C32" s="699"/>
      <c r="D32" s="700"/>
      <c r="F32" s="657" t="s">
        <v>91</v>
      </c>
      <c r="G32" s="659"/>
      <c r="H32" s="660"/>
      <c r="I32" s="660"/>
      <c r="J32" s="661"/>
    </row>
    <row r="33" spans="1:16" ht="24" customHeight="1" thickBot="1" x14ac:dyDescent="0.35">
      <c r="A33" s="220" t="s">
        <v>333</v>
      </c>
      <c r="B33" s="631"/>
      <c r="C33" s="701"/>
      <c r="D33" s="702"/>
      <c r="F33" s="658"/>
      <c r="G33" s="662"/>
      <c r="H33" s="663"/>
      <c r="I33" s="663"/>
      <c r="J33" s="664"/>
    </row>
    <row r="34" spans="1:16" ht="24" customHeight="1" x14ac:dyDescent="0.3">
      <c r="A34" s="220" t="s">
        <v>334</v>
      </c>
      <c r="B34" s="631"/>
      <c r="C34" s="701"/>
      <c r="D34" s="702"/>
      <c r="F34" s="657" t="s">
        <v>94</v>
      </c>
      <c r="G34" s="670"/>
      <c r="H34" s="671"/>
      <c r="I34" s="671"/>
      <c r="J34" s="672"/>
    </row>
    <row r="35" spans="1:16" ht="24" customHeight="1" thickBot="1" x14ac:dyDescent="0.35">
      <c r="A35" s="220" t="s">
        <v>335</v>
      </c>
      <c r="B35" s="631"/>
      <c r="C35" s="701"/>
      <c r="D35" s="702"/>
      <c r="F35" s="658"/>
      <c r="G35" s="673"/>
      <c r="H35" s="674"/>
      <c r="I35" s="674"/>
      <c r="J35" s="675"/>
    </row>
    <row r="36" spans="1:16" ht="24" customHeight="1" thickBot="1" x14ac:dyDescent="0.35">
      <c r="A36" s="220" t="s">
        <v>98</v>
      </c>
      <c r="B36" s="631"/>
      <c r="C36" s="701"/>
      <c r="D36" s="702"/>
      <c r="F36" s="676" t="s">
        <v>99</v>
      </c>
      <c r="G36" s="677"/>
      <c r="H36" s="677"/>
      <c r="I36" s="677"/>
      <c r="J36" s="678"/>
    </row>
    <row r="37" spans="1:16" ht="24" customHeight="1" thickBot="1" x14ac:dyDescent="0.35">
      <c r="A37" s="225" t="s">
        <v>336</v>
      </c>
      <c r="B37" s="634"/>
      <c r="C37" s="703"/>
      <c r="D37" s="704"/>
      <c r="F37" s="578" t="s">
        <v>79</v>
      </c>
      <c r="G37" s="583">
        <f>Wed!C15</f>
        <v>0</v>
      </c>
      <c r="H37" s="578" t="s">
        <v>85</v>
      </c>
      <c r="I37" s="668">
        <f>Wed!J16</f>
        <v>0</v>
      </c>
      <c r="J37" s="669"/>
    </row>
    <row r="38" spans="1:16" ht="24" customHeight="1" x14ac:dyDescent="0.3">
      <c r="A38" s="220"/>
      <c r="B38" s="648" t="s">
        <v>100</v>
      </c>
      <c r="C38" s="649"/>
      <c r="D38" s="650"/>
      <c r="F38" s="657" t="s">
        <v>87</v>
      </c>
      <c r="G38" s="659"/>
      <c r="H38" s="660"/>
      <c r="I38" s="660"/>
      <c r="J38" s="661"/>
    </row>
    <row r="39" spans="1:16" ht="24" customHeight="1" thickBot="1" x14ac:dyDescent="0.35">
      <c r="A39" s="220" t="s">
        <v>101</v>
      </c>
      <c r="B39" s="695"/>
      <c r="C39" s="696"/>
      <c r="D39" s="697"/>
      <c r="F39" s="658"/>
      <c r="G39" s="662"/>
      <c r="H39" s="663"/>
      <c r="I39" s="663"/>
      <c r="J39" s="664"/>
    </row>
    <row r="40" spans="1:16" ht="24" customHeight="1" x14ac:dyDescent="0.3">
      <c r="A40" s="220" t="s">
        <v>102</v>
      </c>
      <c r="B40" s="639" t="e">
        <f>Takings!B26/Takings!E26</f>
        <v>#DIV/0!</v>
      </c>
      <c r="C40" s="640"/>
      <c r="D40" s="641"/>
      <c r="F40" s="657" t="s">
        <v>91</v>
      </c>
      <c r="G40" s="659"/>
      <c r="H40" s="660"/>
      <c r="I40" s="660"/>
      <c r="J40" s="661"/>
    </row>
    <row r="41" spans="1:16" ht="24" customHeight="1" thickBot="1" x14ac:dyDescent="0.35">
      <c r="A41" s="220" t="s">
        <v>103</v>
      </c>
      <c r="B41" s="645"/>
      <c r="C41" s="646"/>
      <c r="D41" s="647"/>
      <c r="F41" s="658"/>
      <c r="G41" s="662"/>
      <c r="H41" s="663"/>
      <c r="I41" s="663"/>
      <c r="J41" s="664"/>
      <c r="P41" s="584"/>
    </row>
    <row r="42" spans="1:16" ht="24" customHeight="1" x14ac:dyDescent="0.3">
      <c r="A42" s="230"/>
      <c r="B42" s="642" t="s">
        <v>22</v>
      </c>
      <c r="C42" s="643"/>
      <c r="D42" s="644"/>
      <c r="F42" s="657" t="s">
        <v>94</v>
      </c>
      <c r="G42" s="670"/>
      <c r="H42" s="671"/>
      <c r="I42" s="671"/>
      <c r="J42" s="672"/>
    </row>
    <row r="43" spans="1:16" ht="24" customHeight="1" thickBot="1" x14ac:dyDescent="0.35">
      <c r="A43" s="220" t="s">
        <v>104</v>
      </c>
      <c r="B43" s="636"/>
      <c r="C43" s="637"/>
      <c r="D43" s="638"/>
      <c r="F43" s="658"/>
      <c r="G43" s="673"/>
      <c r="H43" s="674"/>
      <c r="I43" s="674"/>
      <c r="J43" s="675"/>
    </row>
    <row r="44" spans="1:16" ht="24" customHeight="1" thickBot="1" x14ac:dyDescent="0.35">
      <c r="A44" s="220" t="s">
        <v>105</v>
      </c>
      <c r="B44" s="693"/>
      <c r="C44" s="636"/>
      <c r="D44" s="694"/>
      <c r="F44" s="739" t="s">
        <v>106</v>
      </c>
      <c r="G44" s="740"/>
      <c r="H44" s="740"/>
      <c r="I44" s="740"/>
      <c r="J44" s="741"/>
    </row>
    <row r="45" spans="1:16" ht="24" customHeight="1" thickBot="1" x14ac:dyDescent="0.35">
      <c r="A45" s="220" t="s">
        <v>107</v>
      </c>
      <c r="B45" s="414"/>
      <c r="C45" s="415"/>
      <c r="D45" s="231"/>
      <c r="F45" s="578" t="s">
        <v>79</v>
      </c>
      <c r="G45" s="583">
        <f>Wed!C36+Wed!C42</f>
        <v>0</v>
      </c>
      <c r="H45" s="578" t="s">
        <v>85</v>
      </c>
      <c r="I45" s="668">
        <f>Wed!J43</f>
        <v>0</v>
      </c>
      <c r="J45" s="669"/>
    </row>
    <row r="46" spans="1:16" ht="24" customHeight="1" thickBot="1" x14ac:dyDescent="0.35">
      <c r="A46" s="582"/>
      <c r="B46" s="681"/>
      <c r="C46" s="682"/>
      <c r="D46" s="683"/>
      <c r="F46" s="657" t="s">
        <v>87</v>
      </c>
      <c r="G46" s="659"/>
      <c r="H46" s="660"/>
      <c r="I46" s="660"/>
      <c r="J46" s="661"/>
    </row>
    <row r="47" spans="1:16" ht="24" customHeight="1" thickBot="1" x14ac:dyDescent="0.35">
      <c r="A47" s="581"/>
      <c r="B47" s="690" t="s">
        <v>108</v>
      </c>
      <c r="C47" s="691"/>
      <c r="D47" s="692"/>
      <c r="F47" s="658"/>
      <c r="G47" s="662"/>
      <c r="H47" s="663"/>
      <c r="I47" s="663"/>
      <c r="J47" s="664"/>
    </row>
    <row r="48" spans="1:16" ht="24" customHeight="1" x14ac:dyDescent="0.3">
      <c r="A48" s="579" t="s">
        <v>104</v>
      </c>
      <c r="B48" s="684"/>
      <c r="C48" s="685"/>
      <c r="D48" s="686"/>
      <c r="F48" s="657" t="s">
        <v>91</v>
      </c>
      <c r="G48" s="659"/>
      <c r="H48" s="660"/>
      <c r="I48" s="660"/>
      <c r="J48" s="661"/>
    </row>
    <row r="49" spans="1:10" ht="24" customHeight="1" thickBot="1" x14ac:dyDescent="0.35">
      <c r="A49" s="580" t="s">
        <v>105</v>
      </c>
      <c r="B49" s="687"/>
      <c r="C49" s="688"/>
      <c r="D49" s="689"/>
      <c r="F49" s="658"/>
      <c r="G49" s="662"/>
      <c r="H49" s="663"/>
      <c r="I49" s="663"/>
      <c r="J49" s="664"/>
    </row>
    <row r="50" spans="1:10" ht="24" customHeight="1" x14ac:dyDescent="0.3">
      <c r="A50" s="230"/>
      <c r="B50" s="705" t="s">
        <v>109</v>
      </c>
      <c r="C50" s="643"/>
      <c r="D50" s="644"/>
      <c r="F50" s="657" t="s">
        <v>94</v>
      </c>
      <c r="G50" s="659"/>
      <c r="H50" s="660"/>
      <c r="I50" s="660"/>
      <c r="J50" s="661"/>
    </row>
    <row r="51" spans="1:10" ht="24" customHeight="1" thickBot="1" x14ac:dyDescent="0.35">
      <c r="A51" s="232" t="s">
        <v>110</v>
      </c>
      <c r="B51" s="693"/>
      <c r="C51" s="637"/>
      <c r="D51" s="638"/>
      <c r="F51" s="658"/>
      <c r="G51" s="662"/>
      <c r="H51" s="663"/>
      <c r="I51" s="663"/>
      <c r="J51" s="664"/>
    </row>
    <row r="52" spans="1:10" ht="24" customHeight="1" x14ac:dyDescent="0.3">
      <c r="A52" s="220" t="s">
        <v>111</v>
      </c>
      <c r="B52" s="251" t="s">
        <v>112</v>
      </c>
      <c r="C52" s="253" t="s">
        <v>113</v>
      </c>
      <c r="D52" s="252"/>
    </row>
    <row r="53" spans="1:10" ht="24" customHeight="1" thickBot="1" x14ac:dyDescent="0.35">
      <c r="A53" s="220" t="s">
        <v>114</v>
      </c>
      <c r="B53" s="693" t="s">
        <v>112</v>
      </c>
      <c r="C53" s="637"/>
      <c r="D53" s="638"/>
    </row>
    <row r="54" spans="1:10" ht="24" customHeight="1" thickBot="1" x14ac:dyDescent="0.35">
      <c r="A54" s="230"/>
      <c r="B54" s="705" t="s">
        <v>115</v>
      </c>
      <c r="C54" s="643"/>
      <c r="D54" s="644"/>
      <c r="F54" s="198" t="s">
        <v>116</v>
      </c>
    </row>
    <row r="55" spans="1:10" ht="24" customHeight="1" x14ac:dyDescent="0.3">
      <c r="A55" s="220" t="s">
        <v>117</v>
      </c>
      <c r="B55" s="693"/>
      <c r="C55" s="637"/>
      <c r="D55" s="638"/>
      <c r="F55" s="208" t="s">
        <v>118</v>
      </c>
      <c r="G55" s="651" t="s">
        <v>119</v>
      </c>
      <c r="H55" s="652"/>
      <c r="I55" s="653"/>
      <c r="J55" s="209" t="s">
        <v>120</v>
      </c>
    </row>
    <row r="56" spans="1:10" ht="24" customHeight="1" x14ac:dyDescent="0.3">
      <c r="A56" s="220" t="s">
        <v>111</v>
      </c>
      <c r="B56" s="693"/>
      <c r="C56" s="637"/>
      <c r="D56" s="638"/>
      <c r="F56" s="343"/>
      <c r="G56" s="654"/>
      <c r="H56" s="655"/>
      <c r="I56" s="656"/>
      <c r="J56" s="215"/>
    </row>
    <row r="57" spans="1:10" ht="24" customHeight="1" thickBot="1" x14ac:dyDescent="0.35">
      <c r="A57" s="220" t="s">
        <v>114</v>
      </c>
      <c r="B57" s="693"/>
      <c r="C57" s="637"/>
      <c r="D57" s="638"/>
      <c r="F57" s="343"/>
      <c r="G57" s="654"/>
      <c r="H57" s="655"/>
      <c r="I57" s="656"/>
      <c r="J57" s="215"/>
    </row>
    <row r="58" spans="1:10" ht="24" customHeight="1" x14ac:dyDescent="0.3">
      <c r="A58" s="238"/>
      <c r="B58" s="620" t="s">
        <v>121</v>
      </c>
      <c r="C58" s="620"/>
      <c r="D58" s="621"/>
      <c r="F58" s="343"/>
      <c r="G58" s="654"/>
      <c r="H58" s="655"/>
      <c r="I58" s="656"/>
      <c r="J58" s="215"/>
    </row>
    <row r="59" spans="1:10" ht="24" customHeight="1" x14ac:dyDescent="0.3">
      <c r="A59" s="239" t="s">
        <v>122</v>
      </c>
      <c r="B59" s="622"/>
      <c r="C59" s="623"/>
      <c r="D59" s="624"/>
      <c r="F59" s="343"/>
      <c r="G59" s="654"/>
      <c r="H59" s="655"/>
      <c r="I59" s="656"/>
      <c r="J59" s="215"/>
    </row>
    <row r="60" spans="1:10" ht="24" customHeight="1" thickBot="1" x14ac:dyDescent="0.35">
      <c r="A60" s="239" t="s">
        <v>123</v>
      </c>
      <c r="B60" s="614"/>
      <c r="C60" s="710"/>
      <c r="D60" s="711"/>
      <c r="E60" s="237"/>
      <c r="F60" s="343"/>
      <c r="G60" s="654"/>
      <c r="H60" s="655"/>
      <c r="I60" s="656"/>
      <c r="J60" s="215"/>
    </row>
    <row r="61" spans="1:10" ht="24" customHeight="1" x14ac:dyDescent="0.3">
      <c r="A61" s="238"/>
      <c r="B61" s="713" t="s">
        <v>124</v>
      </c>
      <c r="C61" s="620"/>
      <c r="D61" s="621"/>
      <c r="E61" s="237"/>
      <c r="F61" s="214"/>
      <c r="G61" s="654"/>
      <c r="H61" s="655"/>
      <c r="I61" s="656"/>
      <c r="J61" s="215"/>
    </row>
    <row r="62" spans="1:10" ht="24" customHeight="1" x14ac:dyDescent="0.3">
      <c r="A62" s="239" t="s">
        <v>125</v>
      </c>
      <c r="B62" s="614"/>
      <c r="C62" s="615"/>
      <c r="D62" s="616"/>
      <c r="E62" s="237"/>
      <c r="F62" s="214"/>
      <c r="G62" s="654"/>
      <c r="H62" s="655"/>
      <c r="I62" s="656"/>
      <c r="J62" s="215"/>
    </row>
    <row r="63" spans="1:10" ht="24" customHeight="1" thickBot="1" x14ac:dyDescent="0.35">
      <c r="A63" s="240"/>
      <c r="B63" s="617"/>
      <c r="C63" s="618"/>
      <c r="D63" s="619"/>
      <c r="E63" s="237"/>
      <c r="F63" s="216"/>
      <c r="G63" s="707"/>
      <c r="H63" s="708"/>
      <c r="I63" s="709"/>
      <c r="J63" s="217"/>
    </row>
    <row r="64" spans="1:10" ht="24" customHeight="1" thickBot="1" x14ac:dyDescent="0.35">
      <c r="A64" s="241" t="s">
        <v>126</v>
      </c>
      <c r="B64" s="706"/>
      <c r="C64" s="714"/>
      <c r="D64" s="715"/>
      <c r="E64" s="237"/>
    </row>
    <row r="65" spans="1:10" ht="24" customHeight="1" x14ac:dyDescent="0.3">
      <c r="A65" s="242"/>
      <c r="B65" s="717" t="s">
        <v>127</v>
      </c>
      <c r="C65" s="718"/>
      <c r="D65" s="719"/>
      <c r="E65" s="237"/>
      <c r="F65" s="218" t="s">
        <v>88</v>
      </c>
      <c r="G65" s="218"/>
      <c r="H65" s="198" t="s">
        <v>128</v>
      </c>
      <c r="I65" s="218" t="s">
        <v>129</v>
      </c>
      <c r="J65" s="218" t="s">
        <v>130</v>
      </c>
    </row>
    <row r="66" spans="1:10" ht="24" customHeight="1" thickBot="1" x14ac:dyDescent="0.35">
      <c r="A66" s="434" t="s">
        <v>131</v>
      </c>
      <c r="B66" s="712"/>
      <c r="C66" s="720"/>
      <c r="D66" s="721"/>
      <c r="E66" s="237"/>
      <c r="F66" s="92" t="s">
        <v>130</v>
      </c>
      <c r="G66" s="92" t="s">
        <v>40</v>
      </c>
      <c r="H66" s="92" t="s">
        <v>40</v>
      </c>
      <c r="I66" s="92" t="s">
        <v>132</v>
      </c>
      <c r="J66" s="92" t="s">
        <v>133</v>
      </c>
    </row>
    <row r="67" spans="1:10" ht="24" customHeight="1" x14ac:dyDescent="0.3">
      <c r="A67" s="339" t="s">
        <v>134</v>
      </c>
      <c r="B67" s="712"/>
      <c r="C67" s="720"/>
      <c r="D67" s="721"/>
      <c r="E67" s="237"/>
      <c r="F67" s="110" t="s">
        <v>135</v>
      </c>
      <c r="G67" s="221"/>
      <c r="H67" s="222"/>
      <c r="I67" s="223"/>
      <c r="J67" s="224">
        <v>23</v>
      </c>
    </row>
    <row r="68" spans="1:10" ht="24" customHeight="1" x14ac:dyDescent="0.3">
      <c r="A68" s="243" t="s">
        <v>136</v>
      </c>
      <c r="B68" s="712"/>
      <c r="C68" s="710"/>
      <c r="D68" s="711"/>
      <c r="F68" s="118" t="s">
        <v>137</v>
      </c>
      <c r="G68" s="226"/>
      <c r="H68" s="227">
        <f t="shared" ref="H68:H73" si="0">G68-G67</f>
        <v>0</v>
      </c>
      <c r="I68" s="228"/>
      <c r="J68" s="229">
        <v>23</v>
      </c>
    </row>
    <row r="69" spans="1:10" ht="24" customHeight="1" thickBot="1" x14ac:dyDescent="0.35">
      <c r="A69" s="243" t="s">
        <v>138</v>
      </c>
      <c r="B69" s="716"/>
      <c r="C69" s="682"/>
      <c r="D69" s="683"/>
      <c r="F69" s="118" t="s">
        <v>139</v>
      </c>
      <c r="G69" s="226"/>
      <c r="H69" s="227">
        <f t="shared" si="0"/>
        <v>0</v>
      </c>
      <c r="I69" s="228"/>
      <c r="J69" s="229">
        <v>23</v>
      </c>
    </row>
    <row r="70" spans="1:10" ht="24" customHeight="1" x14ac:dyDescent="0.3">
      <c r="A70" s="244"/>
      <c r="B70" s="713" t="s">
        <v>140</v>
      </c>
      <c r="C70" s="620"/>
      <c r="D70" s="621"/>
      <c r="F70" s="118" t="s">
        <v>141</v>
      </c>
      <c r="G70" s="226"/>
      <c r="H70" s="227">
        <f t="shared" si="0"/>
        <v>0</v>
      </c>
      <c r="I70" s="228"/>
      <c r="J70" s="229">
        <v>23</v>
      </c>
    </row>
    <row r="71" spans="1:10" ht="24" customHeight="1" x14ac:dyDescent="0.3">
      <c r="A71" s="243" t="s">
        <v>142</v>
      </c>
      <c r="B71" s="614"/>
      <c r="C71" s="710"/>
      <c r="D71" s="711"/>
      <c r="F71" s="118" t="s">
        <v>143</v>
      </c>
      <c r="G71" s="226"/>
      <c r="H71" s="227">
        <f t="shared" si="0"/>
        <v>0</v>
      </c>
      <c r="I71" s="228"/>
      <c r="J71" s="229">
        <v>23</v>
      </c>
    </row>
    <row r="72" spans="1:10" ht="24" customHeight="1" thickBot="1" x14ac:dyDescent="0.35">
      <c r="A72" s="245" t="s">
        <v>144</v>
      </c>
      <c r="B72" s="706"/>
      <c r="C72" s="682"/>
      <c r="D72" s="683"/>
      <c r="F72" s="118" t="s">
        <v>145</v>
      </c>
      <c r="G72" s="226"/>
      <c r="H72" s="227">
        <f t="shared" si="0"/>
        <v>0</v>
      </c>
      <c r="I72" s="228"/>
      <c r="J72" s="229">
        <v>23</v>
      </c>
    </row>
    <row r="73" spans="1:10" ht="24" customHeight="1" x14ac:dyDescent="0.3">
      <c r="F73" s="118" t="s">
        <v>146</v>
      </c>
      <c r="G73" s="226"/>
      <c r="H73" s="227">
        <f t="shared" si="0"/>
        <v>0</v>
      </c>
      <c r="I73" s="228"/>
      <c r="J73" s="229">
        <v>23</v>
      </c>
    </row>
    <row r="74" spans="1:10" ht="24" customHeight="1" x14ac:dyDescent="0.3">
      <c r="F74" s="118" t="s">
        <v>147</v>
      </c>
      <c r="G74" s="226"/>
      <c r="H74" s="227">
        <f t="shared" ref="H74:H85" si="1">G74-G73</f>
        <v>0</v>
      </c>
      <c r="I74" s="228"/>
      <c r="J74" s="229">
        <v>23</v>
      </c>
    </row>
    <row r="75" spans="1:10" ht="24" customHeight="1" x14ac:dyDescent="0.3">
      <c r="F75" s="118" t="s">
        <v>148</v>
      </c>
      <c r="G75" s="226"/>
      <c r="H75" s="227">
        <f t="shared" si="1"/>
        <v>0</v>
      </c>
      <c r="I75" s="228"/>
      <c r="J75" s="229">
        <v>23</v>
      </c>
    </row>
    <row r="76" spans="1:10" ht="24" customHeight="1" x14ac:dyDescent="0.3">
      <c r="F76" s="118" t="s">
        <v>149</v>
      </c>
      <c r="G76" s="226"/>
      <c r="H76" s="227">
        <f t="shared" si="1"/>
        <v>0</v>
      </c>
      <c r="I76" s="228"/>
      <c r="J76" s="229">
        <v>23</v>
      </c>
    </row>
    <row r="77" spans="1:10" ht="24" customHeight="1" x14ac:dyDescent="0.3">
      <c r="F77" s="118" t="s">
        <v>150</v>
      </c>
      <c r="G77" s="226"/>
      <c r="H77" s="227">
        <f t="shared" si="1"/>
        <v>0</v>
      </c>
      <c r="I77" s="228"/>
      <c r="J77" s="229">
        <v>23</v>
      </c>
    </row>
    <row r="78" spans="1:10" ht="24" customHeight="1" x14ac:dyDescent="0.3">
      <c r="F78" s="118" t="s">
        <v>151</v>
      </c>
      <c r="G78" s="226"/>
      <c r="H78" s="227">
        <f t="shared" si="1"/>
        <v>0</v>
      </c>
      <c r="I78" s="228"/>
      <c r="J78" s="229">
        <v>23</v>
      </c>
    </row>
    <row r="79" spans="1:10" ht="24" customHeight="1" x14ac:dyDescent="0.3">
      <c r="F79" s="118" t="s">
        <v>152</v>
      </c>
      <c r="G79" s="226"/>
      <c r="H79" s="227">
        <f t="shared" si="1"/>
        <v>0</v>
      </c>
      <c r="I79" s="228"/>
      <c r="J79" s="229">
        <v>23</v>
      </c>
    </row>
    <row r="80" spans="1:10" ht="24" customHeight="1" x14ac:dyDescent="0.3">
      <c r="F80" s="118" t="s">
        <v>153</v>
      </c>
      <c r="G80" s="226"/>
      <c r="H80" s="227">
        <f t="shared" si="1"/>
        <v>0</v>
      </c>
      <c r="I80" s="228"/>
      <c r="J80" s="229">
        <v>23</v>
      </c>
    </row>
    <row r="81" spans="6:10" ht="24" customHeight="1" x14ac:dyDescent="0.3">
      <c r="F81" s="118" t="s">
        <v>154</v>
      </c>
      <c r="G81" s="226"/>
      <c r="H81" s="227">
        <f t="shared" si="1"/>
        <v>0</v>
      </c>
      <c r="I81" s="228"/>
      <c r="J81" s="229">
        <v>23</v>
      </c>
    </row>
    <row r="82" spans="6:10" ht="24" customHeight="1" x14ac:dyDescent="0.3">
      <c r="F82" s="118" t="s">
        <v>155</v>
      </c>
      <c r="G82" s="226"/>
      <c r="H82" s="227">
        <f t="shared" si="1"/>
        <v>0</v>
      </c>
      <c r="I82" s="228"/>
      <c r="J82" s="229">
        <v>23</v>
      </c>
    </row>
    <row r="83" spans="6:10" ht="24" customHeight="1" x14ac:dyDescent="0.3">
      <c r="F83" s="118" t="s">
        <v>156</v>
      </c>
      <c r="G83" s="226"/>
      <c r="H83" s="227">
        <f t="shared" si="1"/>
        <v>0</v>
      </c>
      <c r="I83" s="228"/>
      <c r="J83" s="229">
        <v>23</v>
      </c>
    </row>
    <row r="84" spans="6:10" ht="24" customHeight="1" x14ac:dyDescent="0.3">
      <c r="F84" s="118" t="s">
        <v>157</v>
      </c>
      <c r="G84" s="226"/>
      <c r="H84" s="227">
        <f t="shared" si="1"/>
        <v>0</v>
      </c>
      <c r="I84" s="228"/>
      <c r="J84" s="229">
        <v>23</v>
      </c>
    </row>
    <row r="85" spans="6:10" ht="24" customHeight="1" thickBot="1" x14ac:dyDescent="0.35">
      <c r="F85" s="127" t="s">
        <v>158</v>
      </c>
      <c r="G85" s="233"/>
      <c r="H85" s="234">
        <f t="shared" si="1"/>
        <v>0</v>
      </c>
      <c r="I85" s="235"/>
      <c r="J85" s="236">
        <v>23</v>
      </c>
    </row>
    <row r="86" spans="6:10" ht="24" customHeight="1" x14ac:dyDescent="0.3"/>
    <row r="87" spans="6:10" ht="24" customHeight="1" x14ac:dyDescent="0.3"/>
    <row r="88" spans="6:10" ht="24" customHeight="1" x14ac:dyDescent="0.3"/>
    <row r="89" spans="6:10" ht="24" customHeight="1" x14ac:dyDescent="0.3"/>
    <row r="90" spans="6:10" ht="24" customHeight="1" x14ac:dyDescent="0.3"/>
    <row r="91" spans="6:10" ht="24" customHeight="1" x14ac:dyDescent="0.3"/>
    <row r="92" spans="6:10" ht="24" customHeight="1" x14ac:dyDescent="0.3"/>
    <row r="93" spans="6:10" ht="24" customHeight="1" x14ac:dyDescent="0.3"/>
    <row r="94" spans="6:10" ht="24" customHeight="1" x14ac:dyDescent="0.3"/>
    <row r="95" spans="6:10" ht="24" customHeight="1" x14ac:dyDescent="0.3"/>
    <row r="96" spans="6:10" ht="24" customHeight="1" x14ac:dyDescent="0.3"/>
    <row r="97" spans="1:4" ht="24" customHeight="1" x14ac:dyDescent="0.3"/>
    <row r="98" spans="1:4" ht="24" customHeight="1" x14ac:dyDescent="0.3"/>
    <row r="99" spans="1:4" ht="24" customHeight="1" x14ac:dyDescent="0.3"/>
    <row r="100" spans="1:4" ht="24" customHeight="1" x14ac:dyDescent="0.3"/>
    <row r="101" spans="1:4" ht="24" customHeight="1" x14ac:dyDescent="0.3"/>
    <row r="102" spans="1:4" ht="24" customHeight="1" x14ac:dyDescent="0.3">
      <c r="A102" s="237"/>
      <c r="B102" s="237"/>
      <c r="C102" s="237"/>
      <c r="D102" s="237"/>
    </row>
    <row r="103" spans="1:4" ht="24" customHeight="1" x14ac:dyDescent="0.3">
      <c r="A103" s="237"/>
      <c r="B103" s="237"/>
      <c r="C103" s="237"/>
      <c r="D103" s="237"/>
    </row>
    <row r="104" spans="1:4" ht="24" customHeight="1" x14ac:dyDescent="0.3">
      <c r="A104" s="237"/>
      <c r="B104" s="237"/>
      <c r="C104" s="237"/>
      <c r="D104" s="237"/>
    </row>
    <row r="105" spans="1:4" ht="24" customHeight="1" x14ac:dyDescent="0.3">
      <c r="A105" s="237"/>
      <c r="B105" s="237"/>
      <c r="C105" s="237"/>
      <c r="D105" s="237"/>
    </row>
    <row r="106" spans="1:4" ht="24" customHeight="1" x14ac:dyDescent="0.3">
      <c r="A106" s="237"/>
      <c r="B106" s="237"/>
      <c r="C106" s="237"/>
      <c r="D106" s="237"/>
    </row>
    <row r="107" spans="1:4" x14ac:dyDescent="0.3">
      <c r="A107" s="237"/>
      <c r="B107" s="237"/>
      <c r="C107" s="237"/>
      <c r="D107" s="237"/>
    </row>
    <row r="108" spans="1:4" x14ac:dyDescent="0.3">
      <c r="A108" s="237"/>
      <c r="B108" s="237"/>
      <c r="C108" s="237"/>
      <c r="D108" s="237"/>
    </row>
  </sheetData>
  <sheetProtection algorithmName="SHA-512" hashValue="lCsSutv9BIyOJEbDzu5Nv3hzbGVbiYDNUf47xCzkphpwnUEtFqiPjT/4WDRBHrljsdNBUZyRWbIhzWTDbluGpg==" saltValue="YdPyCfNrf4Gt+pVl+bvnIg==" spinCount="100000" sheet="1" objects="1" scenarios="1"/>
  <protectedRanges>
    <protectedRange sqref="A14:A15" name="Range1"/>
    <protectedRange sqref="A9:A13" name="Range1_1"/>
  </protectedRanges>
  <mergeCells count="95">
    <mergeCell ref="F48:F49"/>
    <mergeCell ref="G48:J49"/>
    <mergeCell ref="F50:F51"/>
    <mergeCell ref="G50:J51"/>
    <mergeCell ref="F42:F43"/>
    <mergeCell ref="G42:J43"/>
    <mergeCell ref="F44:J44"/>
    <mergeCell ref="I45:J45"/>
    <mergeCell ref="F46:F47"/>
    <mergeCell ref="G46:J47"/>
    <mergeCell ref="I37:J37"/>
    <mergeCell ref="F38:F39"/>
    <mergeCell ref="G38:J39"/>
    <mergeCell ref="F40:F41"/>
    <mergeCell ref="G40:J41"/>
    <mergeCell ref="F20:J20"/>
    <mergeCell ref="I21:J21"/>
    <mergeCell ref="F22:F23"/>
    <mergeCell ref="G22:J23"/>
    <mergeCell ref="F24:F25"/>
    <mergeCell ref="G24:J25"/>
    <mergeCell ref="F14:J14"/>
    <mergeCell ref="I15:J15"/>
    <mergeCell ref="F16:F17"/>
    <mergeCell ref="G16:J17"/>
    <mergeCell ref="F18:F19"/>
    <mergeCell ref="G18:J19"/>
    <mergeCell ref="B44:D44"/>
    <mergeCell ref="B51:D51"/>
    <mergeCell ref="B61:D61"/>
    <mergeCell ref="B62:D63"/>
    <mergeCell ref="B72:D72"/>
    <mergeCell ref="B71:D71"/>
    <mergeCell ref="B56:D56"/>
    <mergeCell ref="B65:D65"/>
    <mergeCell ref="B67:D67"/>
    <mergeCell ref="B60:D60"/>
    <mergeCell ref="B69:D69"/>
    <mergeCell ref="B70:D70"/>
    <mergeCell ref="B58:D58"/>
    <mergeCell ref="B59:D59"/>
    <mergeCell ref="B64:D64"/>
    <mergeCell ref="B68:D68"/>
    <mergeCell ref="B57:D57"/>
    <mergeCell ref="B66:D66"/>
    <mergeCell ref="G59:I59"/>
    <mergeCell ref="G60:I60"/>
    <mergeCell ref="G61:I61"/>
    <mergeCell ref="G62:I62"/>
    <mergeCell ref="G63:I63"/>
    <mergeCell ref="B55:D55"/>
    <mergeCell ref="B31:D31"/>
    <mergeCell ref="B46:D46"/>
    <mergeCell ref="B48:D48"/>
    <mergeCell ref="B49:D49"/>
    <mergeCell ref="B47:D47"/>
    <mergeCell ref="B50:D50"/>
    <mergeCell ref="B54:D54"/>
    <mergeCell ref="B53:D53"/>
    <mergeCell ref="B43:D43"/>
    <mergeCell ref="B42:D42"/>
    <mergeCell ref="B38:D38"/>
    <mergeCell ref="B39:D39"/>
    <mergeCell ref="B35:D35"/>
    <mergeCell ref="B36:D36"/>
    <mergeCell ref="B37:D37"/>
    <mergeCell ref="G55:I55"/>
    <mergeCell ref="G56:I56"/>
    <mergeCell ref="B23:D23"/>
    <mergeCell ref="G57:I57"/>
    <mergeCell ref="G58:I58"/>
    <mergeCell ref="F26:F27"/>
    <mergeCell ref="G26:J27"/>
    <mergeCell ref="F28:J28"/>
    <mergeCell ref="I29:J29"/>
    <mergeCell ref="F30:F31"/>
    <mergeCell ref="G30:J31"/>
    <mergeCell ref="F32:F33"/>
    <mergeCell ref="G32:J33"/>
    <mergeCell ref="F34:F35"/>
    <mergeCell ref="G34:J35"/>
    <mergeCell ref="F36:J36"/>
    <mergeCell ref="B41:D41"/>
    <mergeCell ref="B40:D40"/>
    <mergeCell ref="B34:D34"/>
    <mergeCell ref="B33:D33"/>
    <mergeCell ref="A1:D1"/>
    <mergeCell ref="A2:D2"/>
    <mergeCell ref="A3:D3"/>
    <mergeCell ref="B27:D27"/>
    <mergeCell ref="B32:D32"/>
    <mergeCell ref="B26:D26"/>
    <mergeCell ref="B25:D25"/>
    <mergeCell ref="B30:D30"/>
    <mergeCell ref="B29:D29"/>
  </mergeCells>
  <conditionalFormatting sqref="B40:D40">
    <cfRule type="cellIs" dxfId="4" priority="1" operator="lessThan">
      <formula>2.1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>
    <pageSetUpPr fitToPage="1"/>
  </sheetPr>
  <dimension ref="A1:R63"/>
  <sheetViews>
    <sheetView topLeftCell="A36" zoomScale="85" zoomScaleNormal="85" workbookViewId="0">
      <selection activeCell="Q8" sqref="Q8"/>
    </sheetView>
  </sheetViews>
  <sheetFormatPr defaultColWidth="9.140625" defaultRowHeight="12.75" x14ac:dyDescent="0.2"/>
  <cols>
    <col min="1" max="1" width="18.140625" style="1" customWidth="1"/>
    <col min="2" max="2" width="13.7109375" style="1" customWidth="1"/>
    <col min="3" max="5" width="11.42578125" style="1" customWidth="1"/>
    <col min="6" max="7" width="13.7109375" style="1" customWidth="1"/>
    <col min="8" max="8" width="13.7109375" style="1" hidden="1" customWidth="1"/>
    <col min="9" max="9" width="15.28515625" style="1" customWidth="1"/>
    <col min="10" max="10" width="13.7109375" style="1" customWidth="1"/>
    <col min="11" max="11" width="16.28515625" style="1" customWidth="1"/>
    <col min="12" max="12" width="13.7109375" style="1" customWidth="1"/>
    <col min="13" max="13" width="9.28515625" style="1" customWidth="1"/>
    <col min="14" max="14" width="15.140625" style="1" customWidth="1"/>
    <col min="15" max="15" width="14.5703125" style="1" customWidth="1"/>
    <col min="16" max="16" width="4.42578125" style="1" customWidth="1"/>
    <col min="17" max="17" width="17.7109375" style="1" bestFit="1" customWidth="1"/>
    <col min="18" max="18" width="14" style="1" customWidth="1"/>
    <col min="19" max="16384" width="9.140625" style="1"/>
  </cols>
  <sheetData>
    <row r="1" spans="1:18" ht="20.25" x14ac:dyDescent="0.3">
      <c r="A1" s="742" t="s">
        <v>0</v>
      </c>
      <c r="B1" s="742"/>
      <c r="C1" s="742"/>
      <c r="D1" s="742"/>
      <c r="E1" s="742"/>
      <c r="F1" s="742"/>
      <c r="G1" s="742"/>
      <c r="H1" s="742"/>
      <c r="I1" s="742"/>
      <c r="J1" s="742"/>
      <c r="K1" s="742"/>
      <c r="L1" s="742"/>
    </row>
    <row r="2" spans="1:18" ht="20.25" x14ac:dyDescent="0.3">
      <c r="A2" s="742" t="s">
        <v>165</v>
      </c>
      <c r="B2" s="742"/>
      <c r="C2" s="742"/>
      <c r="D2" s="742"/>
      <c r="E2" s="742"/>
      <c r="F2" s="742"/>
      <c r="G2" s="742"/>
      <c r="H2" s="742"/>
      <c r="I2" s="742"/>
      <c r="J2" s="742"/>
      <c r="K2" s="742"/>
      <c r="L2" s="742"/>
    </row>
    <row r="3" spans="1:18" ht="16.5" thickBot="1" x14ac:dyDescent="0.3">
      <c r="K3" s="20" t="s">
        <v>2</v>
      </c>
      <c r="L3" s="21">
        <f>Wed!L3+1</f>
        <v>46058</v>
      </c>
      <c r="N3" s="9" t="s">
        <v>3</v>
      </c>
      <c r="O3" s="5"/>
      <c r="P3" s="5"/>
      <c r="Q3" s="9" t="s">
        <v>4</v>
      </c>
      <c r="R3" s="5"/>
    </row>
    <row r="4" spans="1:18" s="5" customFormat="1" ht="15.75" thickBot="1" x14ac:dyDescent="0.3">
      <c r="A4" s="360" t="s">
        <v>5</v>
      </c>
      <c r="B4" s="361" t="s">
        <v>6</v>
      </c>
      <c r="C4" s="94" t="s">
        <v>4</v>
      </c>
      <c r="D4" s="94" t="s">
        <v>7</v>
      </c>
      <c r="E4" s="94" t="s">
        <v>8</v>
      </c>
      <c r="F4" s="6" t="s">
        <v>9</v>
      </c>
      <c r="G4" s="356" t="s">
        <v>10</v>
      </c>
      <c r="H4" s="447" t="s">
        <v>11</v>
      </c>
      <c r="I4" s="94" t="s">
        <v>12</v>
      </c>
      <c r="J4" s="6" t="s">
        <v>13</v>
      </c>
      <c r="K4" s="7" t="s">
        <v>14</v>
      </c>
      <c r="L4" s="6" t="s">
        <v>15</v>
      </c>
      <c r="N4" s="52"/>
      <c r="O4" s="41"/>
      <c r="P4" s="3"/>
      <c r="Q4" s="52" t="str">
        <f>A4</f>
        <v>BISTRO</v>
      </c>
      <c r="R4" s="32">
        <f>C8</f>
        <v>0</v>
      </c>
    </row>
    <row r="5" spans="1:18" s="5" customFormat="1" ht="15" thickBot="1" x14ac:dyDescent="0.25">
      <c r="A5" s="362"/>
      <c r="B5" s="52"/>
      <c r="C5" s="359"/>
      <c r="D5" s="359"/>
      <c r="E5" s="359"/>
      <c r="F5" s="24">
        <f>B5-(D5+L5)</f>
        <v>0</v>
      </c>
      <c r="G5" s="357"/>
      <c r="H5" s="448"/>
      <c r="I5" s="463"/>
      <c r="J5" s="31"/>
      <c r="K5" s="32">
        <f>SUM(I5+J5+H5+G5)-F5</f>
        <v>0</v>
      </c>
      <c r="L5" s="33"/>
      <c r="N5" s="53"/>
      <c r="O5" s="49"/>
      <c r="P5" s="3"/>
      <c r="Q5" s="53" t="str">
        <f>A11</f>
        <v>SPORTS BAR</v>
      </c>
      <c r="R5" s="24">
        <f>C15</f>
        <v>0</v>
      </c>
    </row>
    <row r="6" spans="1:18" s="5" customFormat="1" ht="15" thickBot="1" x14ac:dyDescent="0.25">
      <c r="A6" s="55"/>
      <c r="B6" s="22"/>
      <c r="C6" s="23"/>
      <c r="D6" s="23"/>
      <c r="E6" s="472"/>
      <c r="F6" s="25">
        <f>B6-(D6+L6)</f>
        <v>0</v>
      </c>
      <c r="G6" s="358"/>
      <c r="H6" s="449"/>
      <c r="I6" s="464"/>
      <c r="J6" s="34"/>
      <c r="K6" s="32">
        <f>SUM(I6+J6+H6+G6)-F6</f>
        <v>0</v>
      </c>
      <c r="L6" s="33"/>
      <c r="N6" s="54"/>
      <c r="O6" s="44"/>
      <c r="P6" s="3"/>
      <c r="Q6" s="53" t="s">
        <v>16</v>
      </c>
      <c r="R6" s="24">
        <f>C22+C28</f>
        <v>0</v>
      </c>
    </row>
    <row r="7" spans="1:18" s="5" customFormat="1" ht="15.75" thickBot="1" x14ac:dyDescent="0.3">
      <c r="A7" s="56"/>
      <c r="B7" s="22"/>
      <c r="C7" s="28"/>
      <c r="D7" s="28"/>
      <c r="E7" s="28"/>
      <c r="F7" s="26">
        <f>B7-(D7+L7)</f>
        <v>0</v>
      </c>
      <c r="G7" s="358"/>
      <c r="H7" s="449"/>
      <c r="I7" s="464"/>
      <c r="J7" s="37"/>
      <c r="K7" s="32">
        <f>SUM(I7+J7+H7+G7)-F7</f>
        <v>0</v>
      </c>
      <c r="L7" s="38"/>
      <c r="N7" s="4" t="s">
        <v>17</v>
      </c>
      <c r="O7" s="50">
        <f>O4+O5+O6</f>
        <v>0</v>
      </c>
      <c r="Q7" s="54" t="s">
        <v>18</v>
      </c>
      <c r="R7" s="36">
        <f>+C36+C42</f>
        <v>0</v>
      </c>
    </row>
    <row r="8" spans="1:18" s="5" customFormat="1" ht="15.75" thickBot="1" x14ac:dyDescent="0.3">
      <c r="A8" s="4" t="s">
        <v>19</v>
      </c>
      <c r="B8" s="30">
        <f>SUM(B5:B7)</f>
        <v>0</v>
      </c>
      <c r="C8" s="30">
        <f t="shared" ref="C8" si="0">SUM(C5:C7)</f>
        <v>0</v>
      </c>
      <c r="D8" s="30">
        <f t="shared" ref="D8:L8" si="1">SUM(D5:D7)</f>
        <v>0</v>
      </c>
      <c r="E8" s="30">
        <f t="shared" si="1"/>
        <v>0</v>
      </c>
      <c r="F8" s="30">
        <f t="shared" si="1"/>
        <v>0</v>
      </c>
      <c r="G8" s="30">
        <f t="shared" si="1"/>
        <v>0</v>
      </c>
      <c r="H8" s="450">
        <f t="shared" si="1"/>
        <v>0</v>
      </c>
      <c r="I8" s="465">
        <f t="shared" si="1"/>
        <v>0</v>
      </c>
      <c r="J8" s="48">
        <f t="shared" si="1"/>
        <v>0</v>
      </c>
      <c r="K8" s="32">
        <f>SUM(I8+J8+H8+G8)-F8</f>
        <v>0</v>
      </c>
      <c r="L8" s="30">
        <f t="shared" si="1"/>
        <v>0</v>
      </c>
      <c r="Q8" s="480" t="s">
        <v>20</v>
      </c>
      <c r="R8" s="455">
        <f>C57</f>
        <v>0</v>
      </c>
    </row>
    <row r="9" spans="1:18" s="5" customFormat="1" ht="15.75" thickBot="1" x14ac:dyDescent="0.3">
      <c r="A9" s="9"/>
      <c r="B9" s="60"/>
      <c r="C9" s="61"/>
      <c r="D9" s="61"/>
      <c r="E9" s="61"/>
      <c r="G9" s="8" t="s">
        <v>21</v>
      </c>
      <c r="J9" s="40">
        <f>SUM(I8+J8+H8+G8)-C8-E8</f>
        <v>0</v>
      </c>
      <c r="K9" s="462"/>
      <c r="L9" s="460"/>
      <c r="Q9" s="4" t="s">
        <v>17</v>
      </c>
      <c r="R9" s="468">
        <f>SUM(R4:R8)</f>
        <v>0</v>
      </c>
    </row>
    <row r="10" spans="1:18" s="5" customFormat="1" ht="15.75" thickBot="1" x14ac:dyDescent="0.3">
      <c r="K10" s="459"/>
      <c r="L10" s="459"/>
      <c r="M10" s="61"/>
      <c r="N10" s="9" t="s">
        <v>22</v>
      </c>
    </row>
    <row r="11" spans="1:18" s="5" customFormat="1" ht="15.75" thickBot="1" x14ac:dyDescent="0.3">
      <c r="A11" s="4" t="s">
        <v>23</v>
      </c>
      <c r="B11" s="6" t="s">
        <v>6</v>
      </c>
      <c r="C11" s="94" t="s">
        <v>4</v>
      </c>
      <c r="D11" s="94" t="s">
        <v>7</v>
      </c>
      <c r="E11" s="94" t="s">
        <v>8</v>
      </c>
      <c r="F11" s="6" t="s">
        <v>9</v>
      </c>
      <c r="G11" s="6" t="s">
        <v>10</v>
      </c>
      <c r="H11" s="447" t="s">
        <v>11</v>
      </c>
      <c r="I11" s="94" t="s">
        <v>12</v>
      </c>
      <c r="J11" s="6" t="s">
        <v>13</v>
      </c>
      <c r="K11" s="7" t="s">
        <v>14</v>
      </c>
      <c r="L11" s="6" t="s">
        <v>15</v>
      </c>
      <c r="N11" s="4" t="s">
        <v>24</v>
      </c>
      <c r="O11" s="58"/>
      <c r="Q11" s="14" t="s">
        <v>25</v>
      </c>
      <c r="R11" s="15"/>
    </row>
    <row r="12" spans="1:18" s="5" customFormat="1" ht="14.25" x14ac:dyDescent="0.2">
      <c r="A12" s="54"/>
      <c r="B12" s="31"/>
      <c r="C12" s="41"/>
      <c r="D12" s="41"/>
      <c r="E12" s="43"/>
      <c r="F12" s="42">
        <f>B12-(D12+L12)</f>
        <v>0</v>
      </c>
      <c r="G12" s="43"/>
      <c r="H12" s="448"/>
      <c r="I12" s="463"/>
      <c r="J12" s="31"/>
      <c r="K12" s="32">
        <f>SUM(I12+J12+H12+G12)-F12</f>
        <v>0</v>
      </c>
      <c r="L12" s="43"/>
      <c r="N12" s="11" t="s">
        <v>26</v>
      </c>
      <c r="O12" s="57"/>
      <c r="Q12" s="16" t="s">
        <v>27</v>
      </c>
      <c r="R12" s="246"/>
    </row>
    <row r="13" spans="1:18" s="5" customFormat="1" ht="14.25" x14ac:dyDescent="0.2">
      <c r="A13" s="54"/>
      <c r="B13" s="35"/>
      <c r="C13" s="44"/>
      <c r="D13" s="44"/>
      <c r="E13" s="46"/>
      <c r="F13" s="45">
        <f>B13-(D13+L13)</f>
        <v>0</v>
      </c>
      <c r="G13" s="46"/>
      <c r="H13" s="449"/>
      <c r="I13" s="464"/>
      <c r="J13" s="35"/>
      <c r="K13" s="24">
        <f>SUM(I13+J13+H13+G13)-F13</f>
        <v>0</v>
      </c>
      <c r="L13" s="46"/>
      <c r="N13" s="2" t="s">
        <v>28</v>
      </c>
      <c r="O13" s="46"/>
      <c r="Q13" s="17" t="s">
        <v>29</v>
      </c>
      <c r="R13" s="247"/>
    </row>
    <row r="14" spans="1:18" s="5" customFormat="1" ht="15" thickBot="1" x14ac:dyDescent="0.25">
      <c r="A14" s="54"/>
      <c r="B14" s="35"/>
      <c r="C14" s="44"/>
      <c r="D14" s="44"/>
      <c r="E14" s="46"/>
      <c r="F14" s="45">
        <f>B14-(D14+L14)</f>
        <v>0</v>
      </c>
      <c r="G14" s="46"/>
      <c r="H14" s="449"/>
      <c r="I14" s="464"/>
      <c r="J14" s="35"/>
      <c r="K14" s="24">
        <f>SUM(I14+J14+H14+G14)-F14</f>
        <v>0</v>
      </c>
      <c r="L14" s="46"/>
      <c r="N14" s="13" t="s">
        <v>30</v>
      </c>
      <c r="O14" s="38"/>
      <c r="Q14" s="2" t="s">
        <v>31</v>
      </c>
      <c r="R14" s="36">
        <f>R12-R13</f>
        <v>0</v>
      </c>
    </row>
    <row r="15" spans="1:18" s="5" customFormat="1" ht="15.75" thickBot="1" x14ac:dyDescent="0.3">
      <c r="A15" s="4" t="s">
        <v>19</v>
      </c>
      <c r="B15" s="47">
        <f t="shared" ref="B15:L15" si="2">SUM(B12:B14)</f>
        <v>0</v>
      </c>
      <c r="C15" s="30">
        <f t="shared" ref="C15" si="3">SUM(C12:C14)</f>
        <v>0</v>
      </c>
      <c r="D15" s="30">
        <f t="shared" si="2"/>
        <v>0</v>
      </c>
      <c r="E15" s="30">
        <f t="shared" si="2"/>
        <v>0</v>
      </c>
      <c r="F15" s="29">
        <f t="shared" si="2"/>
        <v>0</v>
      </c>
      <c r="G15" s="30">
        <f t="shared" si="2"/>
        <v>0</v>
      </c>
      <c r="H15" s="450">
        <f t="shared" si="2"/>
        <v>0</v>
      </c>
      <c r="I15" s="465">
        <f t="shared" si="2"/>
        <v>0</v>
      </c>
      <c r="J15" s="30">
        <f t="shared" si="2"/>
        <v>0</v>
      </c>
      <c r="K15" s="30">
        <f t="shared" si="2"/>
        <v>0</v>
      </c>
      <c r="L15" s="48">
        <f t="shared" si="2"/>
        <v>0</v>
      </c>
      <c r="N15" s="4" t="s">
        <v>17</v>
      </c>
      <c r="O15" s="39">
        <f>SUM(O12:O14)</f>
        <v>0</v>
      </c>
      <c r="Q15" s="17" t="s">
        <v>32</v>
      </c>
      <c r="R15" s="247"/>
    </row>
    <row r="16" spans="1:18" s="5" customFormat="1" ht="15.75" thickBot="1" x14ac:dyDescent="0.3">
      <c r="A16" s="9"/>
      <c r="B16" s="60"/>
      <c r="C16" s="61"/>
      <c r="D16" s="61"/>
      <c r="E16" s="61"/>
      <c r="G16" s="8" t="s">
        <v>33</v>
      </c>
      <c r="J16" s="40">
        <f>SUM(I15+J15+H15+G15)-C15-E15</f>
        <v>0</v>
      </c>
      <c r="K16" s="9"/>
      <c r="L16" s="3"/>
      <c r="N16" s="4" t="s">
        <v>34</v>
      </c>
      <c r="O16" s="59"/>
      <c r="Q16" s="17" t="s">
        <v>35</v>
      </c>
      <c r="R16" s="247"/>
    </row>
    <row r="17" spans="1:18" s="5" customFormat="1" ht="15" thickBot="1" x14ac:dyDescent="0.25">
      <c r="N17" s="11" t="s">
        <v>26</v>
      </c>
      <c r="O17" s="57"/>
      <c r="Q17" s="18" t="s">
        <v>36</v>
      </c>
      <c r="R17" s="248"/>
    </row>
    <row r="18" spans="1:18" s="5" customFormat="1" ht="15.75" thickBot="1" x14ac:dyDescent="0.3">
      <c r="A18" s="360" t="s">
        <v>37</v>
      </c>
      <c r="B18" s="6" t="s">
        <v>6</v>
      </c>
      <c r="C18" s="94" t="s">
        <v>4</v>
      </c>
      <c r="D18" s="94" t="s">
        <v>7</v>
      </c>
      <c r="E18" s="94" t="s">
        <v>8</v>
      </c>
      <c r="F18" s="6" t="s">
        <v>9</v>
      </c>
      <c r="G18" s="6" t="s">
        <v>10</v>
      </c>
      <c r="H18" s="447" t="s">
        <v>11</v>
      </c>
      <c r="I18" s="94" t="s">
        <v>12</v>
      </c>
      <c r="J18" s="6" t="s">
        <v>13</v>
      </c>
      <c r="K18" s="7" t="s">
        <v>14</v>
      </c>
      <c r="L18" s="6" t="s">
        <v>15</v>
      </c>
      <c r="M18" s="61"/>
      <c r="N18" s="2" t="s">
        <v>28</v>
      </c>
      <c r="O18" s="46"/>
      <c r="Q18" s="10" t="s">
        <v>38</v>
      </c>
      <c r="R18" s="27"/>
    </row>
    <row r="19" spans="1:18" s="5" customFormat="1" ht="15.75" thickBot="1" x14ac:dyDescent="0.3">
      <c r="A19" s="52"/>
      <c r="B19" s="31"/>
      <c r="C19" s="41"/>
      <c r="D19" s="41"/>
      <c r="E19" s="43"/>
      <c r="F19" s="42">
        <f>B19-(D19+L19)</f>
        <v>0</v>
      </c>
      <c r="G19" s="43"/>
      <c r="H19" s="448"/>
      <c r="I19" s="463"/>
      <c r="J19" s="31"/>
      <c r="K19" s="32">
        <f>SUM(I19+J19+H19+G19)-F19</f>
        <v>0</v>
      </c>
      <c r="L19" s="43"/>
      <c r="N19" s="13" t="s">
        <v>30</v>
      </c>
      <c r="O19" s="38"/>
      <c r="Q19" s="91" t="s">
        <v>39</v>
      </c>
      <c r="R19" s="249">
        <f>R12-R15-R17-R18</f>
        <v>0</v>
      </c>
    </row>
    <row r="20" spans="1:18" s="5" customFormat="1" ht="15.75" thickBot="1" x14ac:dyDescent="0.3">
      <c r="A20" s="54"/>
      <c r="B20" s="35"/>
      <c r="C20" s="44"/>
      <c r="D20" s="44"/>
      <c r="E20" s="46"/>
      <c r="F20" s="45">
        <f>B20-(D20+L20)</f>
        <v>0</v>
      </c>
      <c r="G20" s="46"/>
      <c r="H20" s="449"/>
      <c r="I20" s="464"/>
      <c r="J20" s="35"/>
      <c r="K20" s="24">
        <f>SUM(I20+J20+H20+G20)-F20</f>
        <v>0</v>
      </c>
      <c r="L20" s="46"/>
      <c r="N20" s="4" t="s">
        <v>17</v>
      </c>
      <c r="O20" s="39">
        <f>SUM(O17:O19)</f>
        <v>0</v>
      </c>
      <c r="Q20" s="19" t="s">
        <v>40</v>
      </c>
      <c r="R20" s="250"/>
    </row>
    <row r="21" spans="1:18" s="5" customFormat="1" ht="15" thickBot="1" x14ac:dyDescent="0.25">
      <c r="A21" s="332"/>
      <c r="B21" s="37"/>
      <c r="C21" s="27"/>
      <c r="D21" s="27"/>
      <c r="E21" s="334"/>
      <c r="F21" s="333">
        <f>B21-(D21+L21)</f>
        <v>0</v>
      </c>
      <c r="G21" s="334"/>
      <c r="H21" s="451"/>
      <c r="I21" s="466"/>
      <c r="J21" s="37"/>
      <c r="K21" s="335">
        <f>SUM(I21+J21+H21+G21)-F21</f>
        <v>0</v>
      </c>
      <c r="L21" s="334"/>
    </row>
    <row r="22" spans="1:18" s="5" customFormat="1" ht="15.75" thickBot="1" x14ac:dyDescent="0.3">
      <c r="A22" s="4" t="s">
        <v>19</v>
      </c>
      <c r="B22" s="47">
        <f>SUM(B19:B21)</f>
        <v>0</v>
      </c>
      <c r="C22" s="47">
        <f t="shared" ref="C22" si="4">SUM(C19:C21)</f>
        <v>0</v>
      </c>
      <c r="D22" s="47">
        <f t="shared" ref="D22:L22" si="5">SUM(D19:D21)</f>
        <v>0</v>
      </c>
      <c r="E22" s="47">
        <f t="shared" si="5"/>
        <v>0</v>
      </c>
      <c r="F22" s="47">
        <f t="shared" si="5"/>
        <v>0</v>
      </c>
      <c r="G22" s="47">
        <f t="shared" si="5"/>
        <v>0</v>
      </c>
      <c r="H22" s="452">
        <f t="shared" si="5"/>
        <v>0</v>
      </c>
      <c r="I22" s="467">
        <f t="shared" si="5"/>
        <v>0</v>
      </c>
      <c r="J22" s="47">
        <f t="shared" si="5"/>
        <v>0</v>
      </c>
      <c r="K22" s="47">
        <f t="shared" si="5"/>
        <v>0</v>
      </c>
      <c r="L22" s="30">
        <f t="shared" si="5"/>
        <v>0</v>
      </c>
      <c r="N22" s="9" t="s">
        <v>10</v>
      </c>
    </row>
    <row r="23" spans="1:18" s="5" customFormat="1" ht="15.75" thickBot="1" x14ac:dyDescent="0.3">
      <c r="A23" s="9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N23" s="62" t="str">
        <f>A11</f>
        <v>SPORTS BAR</v>
      </c>
      <c r="O23" s="63">
        <f>G15</f>
        <v>0</v>
      </c>
      <c r="Q23" s="9" t="s">
        <v>19</v>
      </c>
    </row>
    <row r="24" spans="1:18" s="5" customFormat="1" ht="15.75" thickBot="1" x14ac:dyDescent="0.3">
      <c r="A24" s="4" t="s">
        <v>41</v>
      </c>
      <c r="B24" s="6" t="s">
        <v>6</v>
      </c>
      <c r="C24" s="94" t="s">
        <v>4</v>
      </c>
      <c r="D24" s="94" t="s">
        <v>7</v>
      </c>
      <c r="E24" s="94" t="s">
        <v>8</v>
      </c>
      <c r="F24" s="6" t="s">
        <v>9</v>
      </c>
      <c r="G24" s="6" t="s">
        <v>10</v>
      </c>
      <c r="H24" s="447" t="s">
        <v>11</v>
      </c>
      <c r="I24" s="94" t="s">
        <v>12</v>
      </c>
      <c r="J24" s="6" t="s">
        <v>13</v>
      </c>
      <c r="K24" s="7" t="s">
        <v>14</v>
      </c>
      <c r="L24" s="6" t="s">
        <v>15</v>
      </c>
      <c r="N24" s="12" t="str">
        <f>A4</f>
        <v>BISTRO</v>
      </c>
      <c r="O24" s="51">
        <f>G8</f>
        <v>0</v>
      </c>
      <c r="Q24" s="458" t="s">
        <v>42</v>
      </c>
      <c r="R24" s="456">
        <f>SUM(J29,J51,O7,J43,J16,J9,R19,J58,R9)</f>
        <v>0</v>
      </c>
    </row>
    <row r="25" spans="1:18" s="5" customFormat="1" ht="14.25" x14ac:dyDescent="0.2">
      <c r="A25" s="54"/>
      <c r="B25" s="35"/>
      <c r="C25" s="44"/>
      <c r="D25" s="44"/>
      <c r="E25" s="46"/>
      <c r="F25" s="45">
        <f>B25-(D25+L25)</f>
        <v>0</v>
      </c>
      <c r="G25" s="46"/>
      <c r="H25" s="449"/>
      <c r="I25" s="464"/>
      <c r="J25" s="35"/>
      <c r="K25" s="24">
        <f>SUM(I25+J25+H25+G25)-F25</f>
        <v>0</v>
      </c>
      <c r="L25" s="46"/>
      <c r="N25" s="508" t="s">
        <v>43</v>
      </c>
      <c r="O25" s="509">
        <f>G50</f>
        <v>0</v>
      </c>
      <c r="Q25" s="2" t="s">
        <v>44</v>
      </c>
      <c r="R25" s="45">
        <f>ROUND(+R24/11,2)</f>
        <v>0</v>
      </c>
    </row>
    <row r="26" spans="1:18" s="5" customFormat="1" ht="14.25" x14ac:dyDescent="0.2">
      <c r="A26" s="54"/>
      <c r="B26" s="35"/>
      <c r="C26" s="44"/>
      <c r="D26" s="44"/>
      <c r="E26" s="46"/>
      <c r="F26" s="45">
        <f>B26-(D26+L26)</f>
        <v>0</v>
      </c>
      <c r="G26" s="46"/>
      <c r="H26" s="449"/>
      <c r="I26" s="464"/>
      <c r="J26" s="35"/>
      <c r="K26" s="24">
        <f>SUM(I26+J26+H26+G26)-F26</f>
        <v>0</v>
      </c>
      <c r="L26" s="46"/>
      <c r="M26" s="61"/>
      <c r="N26" s="12" t="s">
        <v>37</v>
      </c>
      <c r="O26" s="51">
        <f>G22</f>
        <v>0</v>
      </c>
      <c r="Q26" s="2" t="s">
        <v>45</v>
      </c>
      <c r="R26" s="46">
        <f>R39</f>
        <v>0</v>
      </c>
    </row>
    <row r="27" spans="1:18" s="5" customFormat="1" ht="15" thickBot="1" x14ac:dyDescent="0.25">
      <c r="A27" s="54"/>
      <c r="B27" s="35"/>
      <c r="C27" s="44"/>
      <c r="D27" s="44"/>
      <c r="E27" s="46"/>
      <c r="F27" s="45">
        <f>B27-(D27+L27)</f>
        <v>0</v>
      </c>
      <c r="G27" s="46"/>
      <c r="H27" s="449"/>
      <c r="I27" s="464"/>
      <c r="J27" s="35"/>
      <c r="K27" s="24">
        <f>SUM(I27+J27+H27+G27)-F27</f>
        <v>0</v>
      </c>
      <c r="L27" s="46"/>
      <c r="N27" s="12" t="s">
        <v>46</v>
      </c>
      <c r="O27" s="51">
        <f>G28</f>
        <v>0</v>
      </c>
      <c r="Q27" s="13" t="s">
        <v>12</v>
      </c>
      <c r="R27" s="46">
        <f>I57+I42+I36+I28+I22+I15+I8</f>
        <v>0</v>
      </c>
    </row>
    <row r="28" spans="1:18" s="5" customFormat="1" ht="15.75" thickBot="1" x14ac:dyDescent="0.3">
      <c r="A28" s="4" t="s">
        <v>19</v>
      </c>
      <c r="B28" s="47">
        <f>SUM(B25:B27)</f>
        <v>0</v>
      </c>
      <c r="C28" s="47">
        <f t="shared" ref="C28" si="6">SUM(C25:C27)</f>
        <v>0</v>
      </c>
      <c r="D28" s="47">
        <f t="shared" ref="D28:L28" si="7">SUM(D25:D27)</f>
        <v>0</v>
      </c>
      <c r="E28" s="47">
        <f t="shared" si="7"/>
        <v>0</v>
      </c>
      <c r="F28" s="47">
        <f t="shared" si="7"/>
        <v>0</v>
      </c>
      <c r="G28" s="47">
        <f t="shared" si="7"/>
        <v>0</v>
      </c>
      <c r="H28" s="452">
        <f t="shared" si="7"/>
        <v>0</v>
      </c>
      <c r="I28" s="467">
        <f t="shared" si="7"/>
        <v>0</v>
      </c>
      <c r="J28" s="47">
        <f t="shared" si="7"/>
        <v>0</v>
      </c>
      <c r="K28" s="47">
        <f t="shared" si="7"/>
        <v>0</v>
      </c>
      <c r="L28" s="30">
        <f t="shared" si="7"/>
        <v>0</v>
      </c>
      <c r="N28" s="12" t="s">
        <v>47</v>
      </c>
      <c r="O28" s="51">
        <f>G36</f>
        <v>0</v>
      </c>
      <c r="Q28" s="10" t="s">
        <v>10</v>
      </c>
      <c r="R28" s="45">
        <f>O31</f>
        <v>0</v>
      </c>
    </row>
    <row r="29" spans="1:18" s="5" customFormat="1" ht="15.75" thickBot="1" x14ac:dyDescent="0.3">
      <c r="A29" s="9"/>
      <c r="B29" s="60"/>
      <c r="C29" s="61"/>
      <c r="D29" s="61"/>
      <c r="E29" s="61"/>
      <c r="G29" s="8" t="s">
        <v>48</v>
      </c>
      <c r="J29" s="40">
        <f>SUM(G22+H22+I22+J22)+(I28+J28+H28+G28)-C28-E28-C22-E22</f>
        <v>0</v>
      </c>
      <c r="K29" s="9"/>
      <c r="L29" s="3"/>
      <c r="N29" s="12" t="s">
        <v>49</v>
      </c>
      <c r="O29" s="51">
        <f>G42</f>
        <v>0</v>
      </c>
      <c r="Q29" s="457" t="s">
        <v>50</v>
      </c>
      <c r="R29" s="440">
        <f>R24-(R28+R26+R27)</f>
        <v>0</v>
      </c>
    </row>
    <row r="30" spans="1:18" s="5" customFormat="1" ht="15.75" thickBot="1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N30" s="510" t="s">
        <v>5</v>
      </c>
      <c r="O30" s="511">
        <f>G57</f>
        <v>0</v>
      </c>
    </row>
    <row r="31" spans="1:18" s="5" customFormat="1" ht="15.75" thickBot="1" x14ac:dyDescent="0.3">
      <c r="A31" s="9" t="s">
        <v>51</v>
      </c>
      <c r="N31" s="363" t="s">
        <v>17</v>
      </c>
      <c r="O31" s="30">
        <f>SUM(O23:O30)</f>
        <v>0</v>
      </c>
      <c r="Q31" s="4" t="s">
        <v>52</v>
      </c>
      <c r="R31" s="48">
        <f>J8+J15+J22+J28+J36+J42+J50+J57</f>
        <v>0</v>
      </c>
    </row>
    <row r="32" spans="1:18" s="5" customFormat="1" ht="15.75" thickBot="1" x14ac:dyDescent="0.3">
      <c r="A32" s="4" t="s">
        <v>47</v>
      </c>
      <c r="B32" s="6" t="s">
        <v>6</v>
      </c>
      <c r="C32" s="94" t="s">
        <v>4</v>
      </c>
      <c r="D32" s="94" t="s">
        <v>7</v>
      </c>
      <c r="E32" s="94" t="s">
        <v>8</v>
      </c>
      <c r="F32" s="6" t="s">
        <v>9</v>
      </c>
      <c r="G32" s="6" t="s">
        <v>10</v>
      </c>
      <c r="H32" s="447" t="s">
        <v>11</v>
      </c>
      <c r="I32" s="94" t="s">
        <v>12</v>
      </c>
      <c r="J32" s="6" t="s">
        <v>13</v>
      </c>
      <c r="K32" s="336" t="s">
        <v>14</v>
      </c>
      <c r="L32" s="6" t="s">
        <v>15</v>
      </c>
    </row>
    <row r="33" spans="1:18" s="5" customFormat="1" ht="15.75" thickBot="1" x14ac:dyDescent="0.3">
      <c r="A33" s="54"/>
      <c r="B33" s="35"/>
      <c r="C33" s="44"/>
      <c r="D33" s="44"/>
      <c r="E33" s="46"/>
      <c r="F33" s="45">
        <f>B33-(D33+L33)</f>
        <v>0</v>
      </c>
      <c r="G33" s="46"/>
      <c r="H33" s="449"/>
      <c r="I33" s="464"/>
      <c r="J33" s="35"/>
      <c r="K33" s="32">
        <f>SUM(I33+J33+H33+G33)-F33</f>
        <v>0</v>
      </c>
      <c r="L33" s="46"/>
      <c r="Q33" s="4" t="s">
        <v>53</v>
      </c>
      <c r="R33" s="420"/>
    </row>
    <row r="34" spans="1:18" s="5" customFormat="1" ht="14.25" x14ac:dyDescent="0.2">
      <c r="A34" s="54"/>
      <c r="B34" s="35"/>
      <c r="C34" s="44"/>
      <c r="D34" s="44"/>
      <c r="E34" s="46"/>
      <c r="F34" s="45">
        <f>B34-(D34+L34)</f>
        <v>0</v>
      </c>
      <c r="G34" s="46"/>
      <c r="H34" s="449"/>
      <c r="I34" s="464"/>
      <c r="J34" s="35"/>
      <c r="K34" s="36">
        <f>SUM(I34+J34+H34+G34)-F34</f>
        <v>0</v>
      </c>
      <c r="L34" s="46"/>
    </row>
    <row r="35" spans="1:18" s="5" customFormat="1" ht="15" thickBot="1" x14ac:dyDescent="0.25">
      <c r="A35" s="54"/>
      <c r="B35" s="35"/>
      <c r="C35" s="44"/>
      <c r="D35" s="44"/>
      <c r="E35" s="46"/>
      <c r="F35" s="45">
        <f>B35-(D35+L35)</f>
        <v>0</v>
      </c>
      <c r="G35" s="46"/>
      <c r="H35" s="449"/>
      <c r="I35" s="464"/>
      <c r="J35" s="35"/>
      <c r="K35" s="338">
        <f>SUM(I35+J35+H35+G35)-F35</f>
        <v>0</v>
      </c>
      <c r="L35" s="46"/>
      <c r="M35" s="61"/>
    </row>
    <row r="36" spans="1:18" s="5" customFormat="1" ht="15.75" thickBot="1" x14ac:dyDescent="0.3">
      <c r="A36" s="4" t="s">
        <v>19</v>
      </c>
      <c r="B36" s="47">
        <f>SUM(B33:B35)</f>
        <v>0</v>
      </c>
      <c r="C36" s="47">
        <f t="shared" ref="C36" si="8">SUM(C33:C35)</f>
        <v>0</v>
      </c>
      <c r="D36" s="47">
        <f t="shared" ref="D36:L36" si="9">SUM(D33:D35)</f>
        <v>0</v>
      </c>
      <c r="E36" s="47">
        <f t="shared" si="9"/>
        <v>0</v>
      </c>
      <c r="F36" s="47">
        <f t="shared" si="9"/>
        <v>0</v>
      </c>
      <c r="G36" s="47">
        <f t="shared" si="9"/>
        <v>0</v>
      </c>
      <c r="H36" s="452">
        <f t="shared" si="9"/>
        <v>0</v>
      </c>
      <c r="I36" s="467">
        <f t="shared" si="9"/>
        <v>0</v>
      </c>
      <c r="J36" s="47">
        <f t="shared" si="9"/>
        <v>0</v>
      </c>
      <c r="K36" s="337">
        <f t="shared" si="9"/>
        <v>0</v>
      </c>
      <c r="L36" s="30">
        <f t="shared" si="9"/>
        <v>0</v>
      </c>
      <c r="Q36" s="743" t="s">
        <v>54</v>
      </c>
      <c r="R36" s="744"/>
    </row>
    <row r="37" spans="1:18" s="5" customFormat="1" ht="15" thickBot="1" x14ac:dyDescent="0.25">
      <c r="A37" s="3"/>
      <c r="B37" s="331"/>
      <c r="C37" s="331"/>
      <c r="D37" s="331"/>
      <c r="E37" s="331"/>
      <c r="F37" s="61"/>
      <c r="G37" s="331"/>
      <c r="H37" s="331"/>
      <c r="I37" s="331"/>
      <c r="J37" s="331"/>
      <c r="K37" s="61"/>
      <c r="L37" s="331"/>
      <c r="Q37" s="512" t="s">
        <v>55</v>
      </c>
      <c r="R37" s="506"/>
    </row>
    <row r="38" spans="1:18" s="5" customFormat="1" ht="15.75" thickBot="1" x14ac:dyDescent="0.3">
      <c r="A38" s="4" t="s">
        <v>49</v>
      </c>
      <c r="B38" s="6" t="s">
        <v>6</v>
      </c>
      <c r="C38" s="94" t="s">
        <v>4</v>
      </c>
      <c r="D38" s="94" t="s">
        <v>7</v>
      </c>
      <c r="E38" s="94" t="s">
        <v>8</v>
      </c>
      <c r="F38" s="6" t="s">
        <v>9</v>
      </c>
      <c r="G38" s="6" t="s">
        <v>10</v>
      </c>
      <c r="H38" s="447" t="s">
        <v>11</v>
      </c>
      <c r="I38" s="94" t="s">
        <v>12</v>
      </c>
      <c r="J38" s="6" t="s">
        <v>13</v>
      </c>
      <c r="K38" s="7" t="s">
        <v>14</v>
      </c>
      <c r="L38" s="6" t="s">
        <v>15</v>
      </c>
      <c r="Q38" s="513" t="s">
        <v>56</v>
      </c>
      <c r="R38" s="507"/>
    </row>
    <row r="39" spans="1:18" s="5" customFormat="1" ht="15.75" thickBot="1" x14ac:dyDescent="0.3">
      <c r="A39" s="54"/>
      <c r="B39" s="35"/>
      <c r="C39" s="44"/>
      <c r="D39" s="44"/>
      <c r="E39" s="46"/>
      <c r="F39" s="45">
        <f>B39-(D39+L39)</f>
        <v>0</v>
      </c>
      <c r="G39" s="46"/>
      <c r="H39" s="449"/>
      <c r="I39" s="464"/>
      <c r="J39" s="35"/>
      <c r="K39" s="24">
        <f>SUM(I39+J39+H39+G39)-F39</f>
        <v>0</v>
      </c>
      <c r="L39" s="46"/>
      <c r="Q39" s="6" t="s">
        <v>17</v>
      </c>
      <c r="R39" s="505">
        <f>SUM(R37:R38)</f>
        <v>0</v>
      </c>
    </row>
    <row r="40" spans="1:18" s="5" customFormat="1" ht="14.25" x14ac:dyDescent="0.2">
      <c r="A40" s="54"/>
      <c r="B40" s="35"/>
      <c r="C40" s="44"/>
      <c r="D40" s="44"/>
      <c r="E40" s="46"/>
      <c r="F40" s="45">
        <f>B40-(D40+L40)</f>
        <v>0</v>
      </c>
      <c r="G40" s="46"/>
      <c r="H40" s="449"/>
      <c r="I40" s="464"/>
      <c r="J40" s="35"/>
      <c r="K40" s="24">
        <f>SUM(I40+J40+H40+G40)-F40</f>
        <v>0</v>
      </c>
      <c r="L40" s="46"/>
    </row>
    <row r="41" spans="1:18" s="5" customFormat="1" ht="15" thickBot="1" x14ac:dyDescent="0.25">
      <c r="A41" s="54"/>
      <c r="B41" s="35"/>
      <c r="C41" s="44"/>
      <c r="D41" s="44"/>
      <c r="E41" s="46"/>
      <c r="F41" s="45">
        <f>B41-(D41+L41)</f>
        <v>0</v>
      </c>
      <c r="G41" s="46"/>
      <c r="H41" s="449"/>
      <c r="I41" s="464"/>
      <c r="J41" s="35"/>
      <c r="K41" s="24">
        <f>SUM(I41+J41+H41+G41)-F41</f>
        <v>0</v>
      </c>
      <c r="L41" s="46"/>
    </row>
    <row r="42" spans="1:18" s="5" customFormat="1" ht="15.75" thickBot="1" x14ac:dyDescent="0.3">
      <c r="A42" s="4" t="s">
        <v>19</v>
      </c>
      <c r="B42" s="47">
        <f>SUM(B39:B41)</f>
        <v>0</v>
      </c>
      <c r="C42" s="47">
        <f t="shared" ref="C42" si="10">SUM(C39:C41)</f>
        <v>0</v>
      </c>
      <c r="D42" s="47">
        <f t="shared" ref="D42:L42" si="11">SUM(D39:D41)</f>
        <v>0</v>
      </c>
      <c r="E42" s="47">
        <f t="shared" si="11"/>
        <v>0</v>
      </c>
      <c r="F42" s="47">
        <f t="shared" si="11"/>
        <v>0</v>
      </c>
      <c r="G42" s="47">
        <f t="shared" si="11"/>
        <v>0</v>
      </c>
      <c r="H42" s="452">
        <f t="shared" si="11"/>
        <v>0</v>
      </c>
      <c r="I42" s="467">
        <f t="shared" si="11"/>
        <v>0</v>
      </c>
      <c r="J42" s="47">
        <f t="shared" si="11"/>
        <v>0</v>
      </c>
      <c r="K42" s="47">
        <f t="shared" si="11"/>
        <v>0</v>
      </c>
      <c r="L42" s="30">
        <f t="shared" si="11"/>
        <v>0</v>
      </c>
    </row>
    <row r="43" spans="1:18" s="5" customFormat="1" ht="15.75" thickBot="1" x14ac:dyDescent="0.3">
      <c r="A43" s="9"/>
      <c r="B43" s="60"/>
      <c r="C43" s="61"/>
      <c r="D43" s="61"/>
      <c r="E43" s="61"/>
      <c r="G43" s="8" t="s">
        <v>57</v>
      </c>
      <c r="J43" s="40">
        <f>SUM(G36+H36+I36+J36)+(I42+J42+H42+G42)-C36-C42-E36-E42</f>
        <v>0</v>
      </c>
      <c r="K43" s="9"/>
      <c r="L43" s="3"/>
      <c r="M43" s="61"/>
    </row>
    <row r="44" spans="1:18" s="5" customFormat="1" ht="14.25" x14ac:dyDescent="0.2"/>
    <row r="45" spans="1:18" s="5" customFormat="1" ht="15.75" hidden="1" thickBot="1" x14ac:dyDescent="0.3">
      <c r="A45" s="478" t="s">
        <v>58</v>
      </c>
      <c r="B45" s="447" t="s">
        <v>6</v>
      </c>
      <c r="C45" s="454" t="s">
        <v>7</v>
      </c>
      <c r="D45" s="473" t="s">
        <v>7</v>
      </c>
      <c r="E45" s="473" t="s">
        <v>8</v>
      </c>
      <c r="F45" s="447" t="s">
        <v>9</v>
      </c>
      <c r="G45" s="447" t="s">
        <v>10</v>
      </c>
      <c r="H45" s="447" t="s">
        <v>11</v>
      </c>
      <c r="I45" s="473" t="s">
        <v>12</v>
      </c>
      <c r="J45" s="447" t="s">
        <v>13</v>
      </c>
      <c r="K45" s="479" t="s">
        <v>14</v>
      </c>
      <c r="L45" s="447" t="s">
        <v>15</v>
      </c>
    </row>
    <row r="46" spans="1:18" s="5" customFormat="1" ht="14.25" hidden="1" x14ac:dyDescent="0.2">
      <c r="A46" s="480"/>
      <c r="B46" s="481"/>
      <c r="C46" s="455"/>
      <c r="D46" s="482"/>
      <c r="E46" s="483"/>
      <c r="F46" s="449">
        <f>B46-(D46+L46)</f>
        <v>0</v>
      </c>
      <c r="G46" s="483"/>
      <c r="H46" s="449"/>
      <c r="I46" s="474"/>
      <c r="J46" s="481"/>
      <c r="K46" s="484">
        <f>SUM(I46+J46+H46+G46)-F46</f>
        <v>0</v>
      </c>
      <c r="L46" s="483"/>
    </row>
    <row r="47" spans="1:18" s="5" customFormat="1" ht="14.25" hidden="1" x14ac:dyDescent="0.2">
      <c r="A47" s="480"/>
      <c r="B47" s="481"/>
      <c r="C47" s="455"/>
      <c r="D47" s="482"/>
      <c r="E47" s="483"/>
      <c r="F47" s="449">
        <f>B47-(D47+L47)</f>
        <v>0</v>
      </c>
      <c r="G47" s="483"/>
      <c r="H47" s="449"/>
      <c r="I47" s="474"/>
      <c r="J47" s="481"/>
      <c r="K47" s="485">
        <f>SUM(I47+J47+H47+G47)-F47</f>
        <v>0</v>
      </c>
      <c r="L47" s="483"/>
    </row>
    <row r="48" spans="1:18" s="5" customFormat="1" ht="14.25" hidden="1" x14ac:dyDescent="0.2">
      <c r="A48" s="480"/>
      <c r="B48" s="481"/>
      <c r="C48" s="455"/>
      <c r="D48" s="482"/>
      <c r="E48" s="483"/>
      <c r="F48" s="449">
        <f>B48-(D48+L48)</f>
        <v>0</v>
      </c>
      <c r="G48" s="483"/>
      <c r="H48" s="449"/>
      <c r="I48" s="474"/>
      <c r="J48" s="481"/>
      <c r="K48" s="485">
        <f>SUM(I48+J48+H48+G48)-F48</f>
        <v>0</v>
      </c>
      <c r="L48" s="483"/>
    </row>
    <row r="49" spans="1:12" s="5" customFormat="1" ht="15" hidden="1" thickBot="1" x14ac:dyDescent="0.25">
      <c r="A49" s="480"/>
      <c r="B49" s="481"/>
      <c r="C49" s="455"/>
      <c r="D49" s="482"/>
      <c r="E49" s="483"/>
      <c r="F49" s="449">
        <f>B49-(D49+L49)</f>
        <v>0</v>
      </c>
      <c r="G49" s="483"/>
      <c r="H49" s="449"/>
      <c r="I49" s="474"/>
      <c r="J49" s="481"/>
      <c r="K49" s="485">
        <f>SUM(I49+J49+H49+G49)-F49</f>
        <v>0</v>
      </c>
      <c r="L49" s="483"/>
    </row>
    <row r="50" spans="1:12" s="5" customFormat="1" ht="15.75" hidden="1" thickBot="1" x14ac:dyDescent="0.3">
      <c r="A50" s="478" t="s">
        <v>19</v>
      </c>
      <c r="B50" s="452">
        <f t="shared" ref="B50:L50" si="12">SUM(B46:B49)</f>
        <v>0</v>
      </c>
      <c r="C50" s="450">
        <f t="shared" ref="C50" si="13">SUM(C46:C49)</f>
        <v>0</v>
      </c>
      <c r="D50" s="450">
        <f t="shared" si="12"/>
        <v>0</v>
      </c>
      <c r="E50" s="450">
        <f t="shared" si="12"/>
        <v>0</v>
      </c>
      <c r="F50" s="453">
        <f t="shared" si="12"/>
        <v>0</v>
      </c>
      <c r="G50" s="450">
        <f t="shared" si="12"/>
        <v>0</v>
      </c>
      <c r="H50" s="453">
        <f t="shared" si="12"/>
        <v>0</v>
      </c>
      <c r="I50" s="450">
        <f>SUM(I46:I49)</f>
        <v>0</v>
      </c>
      <c r="J50" s="450">
        <f t="shared" si="12"/>
        <v>0</v>
      </c>
      <c r="K50" s="450">
        <f t="shared" si="12"/>
        <v>0</v>
      </c>
      <c r="L50" s="59">
        <f t="shared" si="12"/>
        <v>0</v>
      </c>
    </row>
    <row r="51" spans="1:12" s="5" customFormat="1" ht="15.75" hidden="1" thickBot="1" x14ac:dyDescent="0.3">
      <c r="A51" s="486"/>
      <c r="B51" s="487"/>
      <c r="C51" s="488"/>
      <c r="D51" s="488"/>
      <c r="E51" s="488"/>
      <c r="F51" s="489"/>
      <c r="G51" s="490" t="s">
        <v>59</v>
      </c>
      <c r="H51" s="489"/>
      <c r="I51" s="489"/>
      <c r="J51" s="491">
        <f>SUM(I50+J50+H50+G50)-E50</f>
        <v>0</v>
      </c>
      <c r="K51" s="486"/>
      <c r="L51" s="492"/>
    </row>
    <row r="52" spans="1:12" s="5" customFormat="1" ht="15" hidden="1" thickBot="1" x14ac:dyDescent="0.25">
      <c r="A52" s="489"/>
      <c r="B52" s="489"/>
      <c r="C52" s="489"/>
      <c r="D52" s="489"/>
      <c r="E52" s="489"/>
      <c r="F52" s="489"/>
      <c r="G52" s="489"/>
      <c r="H52" s="489"/>
      <c r="I52" s="489"/>
      <c r="J52" s="489"/>
      <c r="K52" s="489"/>
      <c r="L52" s="489"/>
    </row>
    <row r="53" spans="1:12" s="5" customFormat="1" ht="15.75" hidden="1" thickBot="1" x14ac:dyDescent="0.3">
      <c r="A53" s="478" t="s">
        <v>20</v>
      </c>
      <c r="B53" s="447" t="s">
        <v>6</v>
      </c>
      <c r="C53" s="473" t="s">
        <v>4</v>
      </c>
      <c r="D53" s="473" t="s">
        <v>7</v>
      </c>
      <c r="E53" s="473" t="s">
        <v>8</v>
      </c>
      <c r="F53" s="447" t="s">
        <v>9</v>
      </c>
      <c r="G53" s="447" t="s">
        <v>10</v>
      </c>
      <c r="H53" s="447" t="s">
        <v>11</v>
      </c>
      <c r="I53" s="473" t="s">
        <v>12</v>
      </c>
      <c r="J53" s="447" t="s">
        <v>13</v>
      </c>
      <c r="K53" s="479" t="s">
        <v>14</v>
      </c>
      <c r="L53" s="447" t="s">
        <v>15</v>
      </c>
    </row>
    <row r="54" spans="1:12" s="5" customFormat="1" ht="14.25" hidden="1" x14ac:dyDescent="0.2">
      <c r="A54" s="480"/>
      <c r="B54" s="481"/>
      <c r="C54" s="482"/>
      <c r="D54" s="482"/>
      <c r="E54" s="483"/>
      <c r="F54" s="449">
        <f>B54-(D54+L54)</f>
        <v>0</v>
      </c>
      <c r="G54" s="483"/>
      <c r="H54" s="449"/>
      <c r="I54" s="474"/>
      <c r="J54" s="481"/>
      <c r="K54" s="485">
        <f>SUM(I54+J54+H54+G54)-F54</f>
        <v>0</v>
      </c>
      <c r="L54" s="483"/>
    </row>
    <row r="55" spans="1:12" s="5" customFormat="1" ht="14.25" hidden="1" x14ac:dyDescent="0.2">
      <c r="A55" s="480"/>
      <c r="B55" s="481"/>
      <c r="C55" s="482"/>
      <c r="D55" s="482"/>
      <c r="E55" s="483"/>
      <c r="F55" s="449">
        <f>B55-(D55+L55)</f>
        <v>0</v>
      </c>
      <c r="G55" s="483"/>
      <c r="H55" s="449"/>
      <c r="I55" s="474"/>
      <c r="J55" s="481"/>
      <c r="K55" s="485">
        <f>SUM(I55+J55+H55+G55)-F55</f>
        <v>0</v>
      </c>
      <c r="L55" s="483"/>
    </row>
    <row r="56" spans="1:12" ht="15" hidden="1" thickBot="1" x14ac:dyDescent="0.25">
      <c r="A56" s="480"/>
      <c r="B56" s="481"/>
      <c r="C56" s="482"/>
      <c r="D56" s="482"/>
      <c r="E56" s="483"/>
      <c r="F56" s="449">
        <f>B56-(D56+L56)</f>
        <v>0</v>
      </c>
      <c r="G56" s="483"/>
      <c r="H56" s="449"/>
      <c r="I56" s="474"/>
      <c r="J56" s="481"/>
      <c r="K56" s="485">
        <f>SUM(I56+J56+H56+G56)-F56</f>
        <v>0</v>
      </c>
      <c r="L56" s="483"/>
    </row>
    <row r="57" spans="1:12" ht="15.75" hidden="1" thickBot="1" x14ac:dyDescent="0.3">
      <c r="A57" s="478" t="s">
        <v>19</v>
      </c>
      <c r="B57" s="452">
        <f>SUM(B54:B56)</f>
        <v>0</v>
      </c>
      <c r="C57" s="452">
        <f t="shared" ref="C57:L57" si="14">SUM(C54:C56)</f>
        <v>0</v>
      </c>
      <c r="D57" s="452">
        <f t="shared" si="14"/>
        <v>0</v>
      </c>
      <c r="E57" s="452">
        <f>SUM(E54:E56)</f>
        <v>0</v>
      </c>
      <c r="F57" s="452">
        <f t="shared" si="14"/>
        <v>0</v>
      </c>
      <c r="G57" s="452">
        <f t="shared" si="14"/>
        <v>0</v>
      </c>
      <c r="H57" s="452">
        <f t="shared" si="14"/>
        <v>0</v>
      </c>
      <c r="I57" s="452">
        <f t="shared" si="14"/>
        <v>0</v>
      </c>
      <c r="J57" s="452">
        <f t="shared" si="14"/>
        <v>0</v>
      </c>
      <c r="K57" s="452">
        <f t="shared" si="14"/>
        <v>0</v>
      </c>
      <c r="L57" s="450">
        <f t="shared" si="14"/>
        <v>0</v>
      </c>
    </row>
    <row r="58" spans="1:12" ht="15.75" hidden="1" thickBot="1" x14ac:dyDescent="0.3">
      <c r="A58" s="486"/>
      <c r="B58" s="487"/>
      <c r="C58" s="488"/>
      <c r="D58" s="488"/>
      <c r="E58" s="488"/>
      <c r="F58" s="489"/>
      <c r="G58" s="490" t="s">
        <v>60</v>
      </c>
      <c r="H58" s="489"/>
      <c r="I58" s="493"/>
      <c r="J58" s="491">
        <f>SUM(I57+J57+H57+G57)-C57-E57</f>
        <v>0</v>
      </c>
      <c r="K58" s="486"/>
      <c r="L58" s="492"/>
    </row>
    <row r="59" spans="1:12" ht="14.25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14.25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14.25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14.25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14.25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</sheetData>
  <sheetProtection algorithmName="SHA-512" hashValue="emdUt6jGMjgiqkO+P60vNKtW2PEiXF5ynAkc5MEbd63P2OFZHE1U5wZUbazv8K/F7+3L+KUBucloyagAwKJV8Q==" saltValue="1H1DbdaJXzgBJLf1KlvFeg==" spinCount="100000" sheet="1" objects="1" scenarios="1"/>
  <mergeCells count="3">
    <mergeCell ref="A1:L1"/>
    <mergeCell ref="A2:L2"/>
    <mergeCell ref="Q36:R36"/>
  </mergeCells>
  <phoneticPr fontId="39" type="noConversion"/>
  <printOptions horizontalCentered="1" verticalCentered="1"/>
  <pageMargins left="0.74803149606299213" right="0.74803149606299213" top="0.15748031496062992" bottom="0.15748031496062992" header="0.15748031496062992" footer="0.15748031496062992"/>
  <pageSetup paperSize="9" scale="61" orientation="landscape" r:id="rId1"/>
  <headerFooter alignWithMargins="0"/>
  <colBreaks count="1" manualBreakCount="1">
    <brk id="12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Button 1">
              <controlPr defaultSize="0" print="0" autoFill="0" autoPict="0">
                <anchor moveWithCells="1" sizeWithCells="1">
                  <from>
                    <xdr:col>14</xdr:col>
                    <xdr:colOff>0</xdr:colOff>
                    <xdr:row>42</xdr:row>
                    <xdr:rowOff>0</xdr:rowOff>
                  </from>
                  <to>
                    <xdr:col>14</xdr:col>
                    <xdr:colOff>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Button 2">
              <controlPr defaultSize="0" print="0" autoFill="0" autoPict="0">
                <anchor moveWithCells="1" sizeWithCells="1">
                  <from>
                    <xdr:col>14</xdr:col>
                    <xdr:colOff>0</xdr:colOff>
                    <xdr:row>42</xdr:row>
                    <xdr:rowOff>0</xdr:rowOff>
                  </from>
                  <to>
                    <xdr:col>14</xdr:col>
                    <xdr:colOff>0</xdr:colOff>
                    <xdr:row>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Button 3">
              <controlPr defaultSize="0" print="0" autoFill="0" autoPict="0">
                <anchor moveWithCells="1" sizeWithCells="1">
                  <from>
                    <xdr:col>13</xdr:col>
                    <xdr:colOff>0</xdr:colOff>
                    <xdr:row>40</xdr:row>
                    <xdr:rowOff>0</xdr:rowOff>
                  </from>
                  <to>
                    <xdr:col>13</xdr:col>
                    <xdr:colOff>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Button 4">
              <controlPr defaultSize="0" print="0" autoFill="0" autoPict="0">
                <anchor moveWithCells="1" sizeWithCells="1">
                  <from>
                    <xdr:col>13</xdr:col>
                    <xdr:colOff>0</xdr:colOff>
                    <xdr:row>40</xdr:row>
                    <xdr:rowOff>0</xdr:rowOff>
                  </from>
                  <to>
                    <xdr:col>13</xdr:col>
                    <xdr:colOff>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8" name="Button 5">
              <controlPr defaultSize="0" print="0" autoFill="0" autoPict="0">
                <anchor moveWithCells="1" sizeWithCells="1">
                  <from>
                    <xdr:col>14</xdr:col>
                    <xdr:colOff>0</xdr:colOff>
                    <xdr:row>42</xdr:row>
                    <xdr:rowOff>0</xdr:rowOff>
                  </from>
                  <to>
                    <xdr:col>14</xdr:col>
                    <xdr:colOff>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9" name="Button 6">
              <controlPr defaultSize="0" print="0" autoFill="0" autoPict="0">
                <anchor moveWithCells="1" sizeWithCells="1">
                  <from>
                    <xdr:col>14</xdr:col>
                    <xdr:colOff>0</xdr:colOff>
                    <xdr:row>42</xdr:row>
                    <xdr:rowOff>0</xdr:rowOff>
                  </from>
                  <to>
                    <xdr:col>14</xdr:col>
                    <xdr:colOff>0</xdr:colOff>
                    <xdr:row>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0" name="Button 7">
              <controlPr defaultSize="0" print="0" autoFill="0" autoPict="0">
                <anchor moveWithCells="1" sizeWithCells="1">
                  <from>
                    <xdr:col>13</xdr:col>
                    <xdr:colOff>0</xdr:colOff>
                    <xdr:row>40</xdr:row>
                    <xdr:rowOff>0</xdr:rowOff>
                  </from>
                  <to>
                    <xdr:col>13</xdr:col>
                    <xdr:colOff>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1" name="Button 8">
              <controlPr defaultSize="0" print="0" autoFill="0" autoPict="0">
                <anchor moveWithCells="1" sizeWithCells="1">
                  <from>
                    <xdr:col>13</xdr:col>
                    <xdr:colOff>0</xdr:colOff>
                    <xdr:row>40</xdr:row>
                    <xdr:rowOff>0</xdr:rowOff>
                  </from>
                  <to>
                    <xdr:col>13</xdr:col>
                    <xdr:colOff>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2" name="Button 9">
              <controlPr defaultSize="0" print="0" autoFill="0" autoPict="0">
                <anchor moveWithCells="1" sizeWithCells="1">
                  <from>
                    <xdr:col>14</xdr:col>
                    <xdr:colOff>0</xdr:colOff>
                    <xdr:row>35</xdr:row>
                    <xdr:rowOff>0</xdr:rowOff>
                  </from>
                  <to>
                    <xdr:col>14</xdr:col>
                    <xdr:colOff>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3" name="Button 10">
              <controlPr defaultSize="0" print="0" autoFill="0" autoPict="0">
                <anchor moveWithCells="1" sizeWithCells="1">
                  <from>
                    <xdr:col>14</xdr:col>
                    <xdr:colOff>0</xdr:colOff>
                    <xdr:row>35</xdr:row>
                    <xdr:rowOff>0</xdr:rowOff>
                  </from>
                  <to>
                    <xdr:col>14</xdr:col>
                    <xdr:colOff>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4" name="Button 11">
              <controlPr defaultSize="0" print="0" autoFill="0" autoPict="0">
                <anchor moveWithCells="1" sizeWithCells="1">
                  <from>
                    <xdr:col>14</xdr:col>
                    <xdr:colOff>0</xdr:colOff>
                    <xdr:row>35</xdr:row>
                    <xdr:rowOff>0</xdr:rowOff>
                  </from>
                  <to>
                    <xdr:col>14</xdr:col>
                    <xdr:colOff>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5" name="Button 12">
              <controlPr defaultSize="0" print="0" autoFill="0" autoPict="0">
                <anchor moveWithCells="1" sizeWithCells="1">
                  <from>
                    <xdr:col>14</xdr:col>
                    <xdr:colOff>0</xdr:colOff>
                    <xdr:row>35</xdr:row>
                    <xdr:rowOff>0</xdr:rowOff>
                  </from>
                  <to>
                    <xdr:col>14</xdr:col>
                    <xdr:colOff>0</xdr:colOff>
                    <xdr:row>35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2"/>
  <dimension ref="A1:P108"/>
  <sheetViews>
    <sheetView topLeftCell="A6" zoomScale="70" zoomScaleNormal="70" workbookViewId="0">
      <selection activeCell="A9" sqref="A9:A15"/>
    </sheetView>
  </sheetViews>
  <sheetFormatPr defaultColWidth="9.140625" defaultRowHeight="16.5" x14ac:dyDescent="0.3"/>
  <cols>
    <col min="1" max="1" width="36.85546875" style="193" customWidth="1"/>
    <col min="2" max="4" width="19.28515625" style="193" customWidth="1"/>
    <col min="5" max="5" width="2.7109375" style="193" customWidth="1"/>
    <col min="6" max="10" width="19.140625" style="193" customWidth="1"/>
    <col min="11" max="16384" width="9.140625" style="193"/>
  </cols>
  <sheetData>
    <row r="1" spans="1:10" ht="27" customHeight="1" x14ac:dyDescent="0.35">
      <c r="A1" s="625" t="s">
        <v>61</v>
      </c>
      <c r="B1" s="626"/>
      <c r="C1" s="626"/>
      <c r="D1" s="626"/>
    </row>
    <row r="2" spans="1:10" ht="27" customHeight="1" x14ac:dyDescent="0.3">
      <c r="A2" s="627">
        <f>Thu!L3</f>
        <v>46058</v>
      </c>
      <c r="B2" s="628"/>
      <c r="C2" s="628"/>
      <c r="D2" s="628"/>
    </row>
    <row r="3" spans="1:10" ht="27" customHeight="1" x14ac:dyDescent="0.3">
      <c r="A3" s="629" t="s">
        <v>163</v>
      </c>
      <c r="B3" s="630"/>
      <c r="C3" s="630"/>
      <c r="D3" s="630"/>
    </row>
    <row r="4" spans="1:10" ht="17.25" thickBot="1" x14ac:dyDescent="0.35">
      <c r="A4" s="194"/>
      <c r="B4" s="195"/>
      <c r="C4" s="196"/>
      <c r="D4" s="196"/>
    </row>
    <row r="5" spans="1:10" ht="24" customHeight="1" thickBot="1" x14ac:dyDescent="0.35">
      <c r="A5" s="431" t="s">
        <v>63</v>
      </c>
      <c r="B5" s="426" t="s">
        <v>166</v>
      </c>
      <c r="C5" s="197" t="s">
        <v>161</v>
      </c>
      <c r="F5" s="342" t="s">
        <v>65</v>
      </c>
      <c r="G5" s="475">
        <f>SUM(G6:G9)</f>
        <v>0</v>
      </c>
    </row>
    <row r="6" spans="1:10" ht="24" customHeight="1" x14ac:dyDescent="0.3">
      <c r="A6" s="432" t="s">
        <v>66</v>
      </c>
      <c r="B6" s="427">
        <f>Takings!B27</f>
        <v>0</v>
      </c>
      <c r="C6" s="199">
        <f>SUM(Takings!B24:B27)</f>
        <v>0</v>
      </c>
      <c r="F6" s="340" t="s">
        <v>70</v>
      </c>
      <c r="G6" s="341">
        <f>Takings!C8</f>
        <v>0</v>
      </c>
    </row>
    <row r="7" spans="1:10" ht="24" customHeight="1" x14ac:dyDescent="0.3">
      <c r="A7" s="355" t="s">
        <v>68</v>
      </c>
      <c r="B7" s="428">
        <f>Takings!C27</f>
        <v>0</v>
      </c>
      <c r="C7" s="201">
        <f>SUM(Takings!C24:C27)</f>
        <v>0</v>
      </c>
      <c r="F7" s="340" t="s">
        <v>329</v>
      </c>
      <c r="G7" s="341">
        <f>Takings!D8</f>
        <v>0</v>
      </c>
    </row>
    <row r="8" spans="1:10" ht="24" customHeight="1" x14ac:dyDescent="0.3">
      <c r="A8" s="355" t="s">
        <v>69</v>
      </c>
      <c r="B8" s="428">
        <f>Takings!I8</f>
        <v>0</v>
      </c>
      <c r="C8" s="201">
        <f>SUM(Takings!I5:I8)</f>
        <v>0</v>
      </c>
      <c r="F8" s="200" t="s">
        <v>67</v>
      </c>
      <c r="G8" s="201">
        <f>Takings!E8</f>
        <v>0</v>
      </c>
    </row>
    <row r="9" spans="1:10" ht="24" customHeight="1" thickBot="1" x14ac:dyDescent="0.35">
      <c r="A9" s="846" t="s">
        <v>71</v>
      </c>
      <c r="B9" s="429"/>
      <c r="C9" s="302"/>
      <c r="F9" s="202" t="s">
        <v>330</v>
      </c>
      <c r="G9" s="203">
        <f>Takings!F8</f>
        <v>0</v>
      </c>
    </row>
    <row r="10" spans="1:10" ht="24" customHeight="1" x14ac:dyDescent="0.3">
      <c r="A10" s="846" t="s">
        <v>72</v>
      </c>
      <c r="B10" s="429"/>
      <c r="C10" s="302"/>
    </row>
    <row r="11" spans="1:10" ht="24" customHeight="1" x14ac:dyDescent="0.3">
      <c r="A11" s="846" t="s">
        <v>73</v>
      </c>
      <c r="B11" s="429"/>
      <c r="C11" s="302"/>
    </row>
    <row r="12" spans="1:10" ht="24" customHeight="1" x14ac:dyDescent="0.3">
      <c r="A12" s="846" t="s">
        <v>339</v>
      </c>
      <c r="B12" s="429"/>
      <c r="C12" s="302"/>
    </row>
    <row r="13" spans="1:10" ht="24" customHeight="1" thickBot="1" x14ac:dyDescent="0.35">
      <c r="A13" s="846" t="s">
        <v>337</v>
      </c>
      <c r="B13" s="429"/>
      <c r="C13" s="302"/>
    </row>
    <row r="14" spans="1:10" ht="24" customHeight="1" thickBot="1" x14ac:dyDescent="0.35">
      <c r="A14" s="846" t="s">
        <v>338</v>
      </c>
      <c r="B14" s="429"/>
      <c r="C14" s="302"/>
      <c r="F14" s="722" t="s">
        <v>74</v>
      </c>
      <c r="G14" s="723"/>
      <c r="H14" s="723"/>
      <c r="I14" s="723"/>
      <c r="J14" s="724"/>
    </row>
    <row r="15" spans="1:10" ht="24" customHeight="1" thickBot="1" x14ac:dyDescent="0.35">
      <c r="A15" s="846" t="s">
        <v>75</v>
      </c>
      <c r="B15" s="429"/>
      <c r="C15" s="302"/>
      <c r="F15" s="578" t="s">
        <v>76</v>
      </c>
      <c r="G15" s="585"/>
      <c r="H15" s="578" t="s">
        <v>77</v>
      </c>
      <c r="I15" s="725"/>
      <c r="J15" s="726"/>
    </row>
    <row r="16" spans="1:10" ht="24" customHeight="1" x14ac:dyDescent="0.3">
      <c r="A16" s="355" t="s">
        <v>65</v>
      </c>
      <c r="B16" s="428">
        <f>Takings!E46</f>
        <v>0</v>
      </c>
      <c r="C16" s="201">
        <f>SUM(Takings!B46:E46)</f>
        <v>0</v>
      </c>
      <c r="F16" s="727" t="s">
        <v>78</v>
      </c>
      <c r="G16" s="735"/>
      <c r="H16" s="730"/>
      <c r="I16" s="730"/>
      <c r="J16" s="731"/>
    </row>
    <row r="17" spans="1:10" ht="24" customHeight="1" thickBot="1" x14ac:dyDescent="0.35">
      <c r="A17" s="355" t="s">
        <v>79</v>
      </c>
      <c r="B17" s="428">
        <f>Takings!E49</f>
        <v>0</v>
      </c>
      <c r="C17" s="201">
        <f>SUM(Takings!B49:E49)</f>
        <v>0</v>
      </c>
      <c r="F17" s="728"/>
      <c r="G17" s="732"/>
      <c r="H17" s="733"/>
      <c r="I17" s="733"/>
      <c r="J17" s="734"/>
    </row>
    <row r="18" spans="1:10" ht="24" customHeight="1" x14ac:dyDescent="0.3">
      <c r="A18" s="514" t="s">
        <v>80</v>
      </c>
      <c r="B18" s="516">
        <f>Takings!H8</f>
        <v>0</v>
      </c>
      <c r="C18" s="517">
        <f>SUM(Takings!H5:H8)</f>
        <v>0</v>
      </c>
      <c r="F18" s="727" t="s">
        <v>81</v>
      </c>
      <c r="G18" s="735"/>
      <c r="H18" s="730"/>
      <c r="I18" s="730"/>
      <c r="J18" s="731"/>
    </row>
    <row r="19" spans="1:10" ht="24" customHeight="1" thickBot="1" x14ac:dyDescent="0.35">
      <c r="A19" s="433" t="s">
        <v>22</v>
      </c>
      <c r="B19" s="430">
        <f>Takings!L40</f>
        <v>0</v>
      </c>
      <c r="C19" s="203">
        <f>SUM(Takings!L37:L40)</f>
        <v>0</v>
      </c>
      <c r="F19" s="728"/>
      <c r="G19" s="732"/>
      <c r="H19" s="733"/>
      <c r="I19" s="733"/>
      <c r="J19" s="734"/>
    </row>
    <row r="20" spans="1:10" ht="39" customHeight="1" thickBot="1" x14ac:dyDescent="0.35">
      <c r="F20" s="736" t="s">
        <v>331</v>
      </c>
      <c r="G20" s="737"/>
      <c r="H20" s="737"/>
      <c r="I20" s="737"/>
      <c r="J20" s="738"/>
    </row>
    <row r="21" spans="1:10" ht="24" customHeight="1" thickBot="1" x14ac:dyDescent="0.35">
      <c r="A21" s="204"/>
      <c r="B21" s="205" t="s">
        <v>82</v>
      </c>
      <c r="C21" s="206" t="s">
        <v>83</v>
      </c>
      <c r="D21" s="207" t="s">
        <v>84</v>
      </c>
      <c r="F21" s="578" t="s">
        <v>79</v>
      </c>
      <c r="G21" s="583">
        <f>Thu!C22+Thu!C28</f>
        <v>0</v>
      </c>
      <c r="H21" s="578" t="s">
        <v>85</v>
      </c>
      <c r="I21" s="668">
        <f>Thu!J29</f>
        <v>0</v>
      </c>
      <c r="J21" s="669"/>
    </row>
    <row r="22" spans="1:10" ht="24" customHeight="1" thickBot="1" x14ac:dyDescent="0.35">
      <c r="A22" s="210" t="s">
        <v>86</v>
      </c>
      <c r="B22" s="211"/>
      <c r="C22" s="212"/>
      <c r="D22" s="213"/>
      <c r="F22" s="657" t="s">
        <v>87</v>
      </c>
      <c r="G22" s="659"/>
      <c r="H22" s="660"/>
      <c r="I22" s="660"/>
      <c r="J22" s="661"/>
    </row>
    <row r="23" spans="1:10" ht="24" customHeight="1" thickBot="1" x14ac:dyDescent="0.35">
      <c r="A23" s="230"/>
      <c r="B23" s="642" t="s">
        <v>88</v>
      </c>
      <c r="C23" s="643"/>
      <c r="D23" s="644"/>
      <c r="F23" s="658"/>
      <c r="G23" s="662"/>
      <c r="H23" s="663"/>
      <c r="I23" s="663"/>
      <c r="J23" s="664"/>
    </row>
    <row r="24" spans="1:10" ht="24" customHeight="1" x14ac:dyDescent="0.3">
      <c r="A24" s="220" t="s">
        <v>89</v>
      </c>
      <c r="B24" s="319">
        <f>G75</f>
        <v>0</v>
      </c>
      <c r="C24" s="320" t="s">
        <v>90</v>
      </c>
      <c r="D24" s="324"/>
      <c r="F24" s="657" t="s">
        <v>91</v>
      </c>
      <c r="G24" s="670"/>
      <c r="H24" s="671"/>
      <c r="I24" s="671"/>
      <c r="J24" s="672"/>
    </row>
    <row r="25" spans="1:10" ht="24" customHeight="1" thickBot="1" x14ac:dyDescent="0.35">
      <c r="A25" s="220" t="s">
        <v>92</v>
      </c>
      <c r="B25" s="631"/>
      <c r="C25" s="632"/>
      <c r="D25" s="633"/>
      <c r="F25" s="658"/>
      <c r="G25" s="673"/>
      <c r="H25" s="674"/>
      <c r="I25" s="674"/>
      <c r="J25" s="675"/>
    </row>
    <row r="26" spans="1:10" ht="24" customHeight="1" x14ac:dyDescent="0.3">
      <c r="A26" s="220" t="s">
        <v>93</v>
      </c>
      <c r="B26" s="631"/>
      <c r="C26" s="632"/>
      <c r="D26" s="633"/>
      <c r="F26" s="657" t="s">
        <v>94</v>
      </c>
      <c r="G26" s="659"/>
      <c r="H26" s="660"/>
      <c r="I26" s="660"/>
      <c r="J26" s="661"/>
    </row>
    <row r="27" spans="1:10" ht="24" customHeight="1" thickBot="1" x14ac:dyDescent="0.35">
      <c r="A27" s="225" t="s">
        <v>95</v>
      </c>
      <c r="B27" s="634"/>
      <c r="C27" s="634"/>
      <c r="D27" s="635"/>
      <c r="F27" s="658"/>
      <c r="G27" s="662"/>
      <c r="H27" s="663"/>
      <c r="I27" s="663"/>
      <c r="J27" s="664"/>
    </row>
    <row r="28" spans="1:10" ht="24" customHeight="1" thickBot="1" x14ac:dyDescent="0.35">
      <c r="A28" s="219" t="s">
        <v>96</v>
      </c>
      <c r="B28" s="321">
        <f>B6-B24</f>
        <v>0</v>
      </c>
      <c r="C28" s="322" t="s">
        <v>90</v>
      </c>
      <c r="D28" s="323"/>
      <c r="F28" s="665" t="s">
        <v>329</v>
      </c>
      <c r="G28" s="666"/>
      <c r="H28" s="666"/>
      <c r="I28" s="666"/>
      <c r="J28" s="667"/>
    </row>
    <row r="29" spans="1:10" ht="24" customHeight="1" thickBot="1" x14ac:dyDescent="0.35">
      <c r="A29" s="220" t="s">
        <v>97</v>
      </c>
      <c r="B29" s="631"/>
      <c r="C29" s="632"/>
      <c r="D29" s="633"/>
      <c r="F29" s="578" t="s">
        <v>79</v>
      </c>
      <c r="G29" s="583">
        <f>Thu!C8</f>
        <v>0</v>
      </c>
      <c r="H29" s="578" t="s">
        <v>85</v>
      </c>
      <c r="I29" s="668">
        <f>Thu!J9</f>
        <v>0</v>
      </c>
      <c r="J29" s="669"/>
    </row>
    <row r="30" spans="1:10" ht="24" customHeight="1" x14ac:dyDescent="0.3">
      <c r="A30" s="220" t="s">
        <v>93</v>
      </c>
      <c r="B30" s="631"/>
      <c r="C30" s="632"/>
      <c r="D30" s="633"/>
      <c r="F30" s="657" t="s">
        <v>87</v>
      </c>
      <c r="G30" s="659"/>
      <c r="H30" s="660"/>
      <c r="I30" s="660"/>
      <c r="J30" s="661"/>
    </row>
    <row r="31" spans="1:10" ht="24" customHeight="1" thickBot="1" x14ac:dyDescent="0.35">
      <c r="A31" s="225" t="s">
        <v>95</v>
      </c>
      <c r="B31" s="634"/>
      <c r="C31" s="679"/>
      <c r="D31" s="680"/>
      <c r="F31" s="658"/>
      <c r="G31" s="662"/>
      <c r="H31" s="663"/>
      <c r="I31" s="663"/>
      <c r="J31" s="664"/>
    </row>
    <row r="32" spans="1:10" ht="24" customHeight="1" x14ac:dyDescent="0.3">
      <c r="A32" s="220"/>
      <c r="B32" s="698" t="s">
        <v>332</v>
      </c>
      <c r="C32" s="699"/>
      <c r="D32" s="700"/>
      <c r="F32" s="657" t="s">
        <v>91</v>
      </c>
      <c r="G32" s="659"/>
      <c r="H32" s="660"/>
      <c r="I32" s="660"/>
      <c r="J32" s="661"/>
    </row>
    <row r="33" spans="1:16" ht="24" customHeight="1" thickBot="1" x14ac:dyDescent="0.35">
      <c r="A33" s="220" t="s">
        <v>333</v>
      </c>
      <c r="B33" s="631"/>
      <c r="C33" s="701"/>
      <c r="D33" s="702"/>
      <c r="F33" s="658"/>
      <c r="G33" s="662"/>
      <c r="H33" s="663"/>
      <c r="I33" s="663"/>
      <c r="J33" s="664"/>
    </row>
    <row r="34" spans="1:16" ht="24" customHeight="1" x14ac:dyDescent="0.3">
      <c r="A34" s="220" t="s">
        <v>334</v>
      </c>
      <c r="B34" s="631"/>
      <c r="C34" s="701"/>
      <c r="D34" s="702"/>
      <c r="F34" s="657" t="s">
        <v>94</v>
      </c>
      <c r="G34" s="670"/>
      <c r="H34" s="671"/>
      <c r="I34" s="671"/>
      <c r="J34" s="672"/>
    </row>
    <row r="35" spans="1:16" ht="24" customHeight="1" thickBot="1" x14ac:dyDescent="0.35">
      <c r="A35" s="220" t="s">
        <v>335</v>
      </c>
      <c r="B35" s="631"/>
      <c r="C35" s="701"/>
      <c r="D35" s="702"/>
      <c r="F35" s="658"/>
      <c r="G35" s="673"/>
      <c r="H35" s="674"/>
      <c r="I35" s="674"/>
      <c r="J35" s="675"/>
    </row>
    <row r="36" spans="1:16" ht="24" customHeight="1" thickBot="1" x14ac:dyDescent="0.35">
      <c r="A36" s="220" t="s">
        <v>98</v>
      </c>
      <c r="B36" s="631"/>
      <c r="C36" s="701"/>
      <c r="D36" s="702"/>
      <c r="F36" s="676" t="s">
        <v>99</v>
      </c>
      <c r="G36" s="677"/>
      <c r="H36" s="677"/>
      <c r="I36" s="677"/>
      <c r="J36" s="678"/>
    </row>
    <row r="37" spans="1:16" ht="24" customHeight="1" thickBot="1" x14ac:dyDescent="0.35">
      <c r="A37" s="225" t="s">
        <v>336</v>
      </c>
      <c r="B37" s="634"/>
      <c r="C37" s="703"/>
      <c r="D37" s="704"/>
      <c r="F37" s="578" t="s">
        <v>79</v>
      </c>
      <c r="G37" s="583">
        <f>Thu!C15</f>
        <v>0</v>
      </c>
      <c r="H37" s="578" t="s">
        <v>85</v>
      </c>
      <c r="I37" s="668">
        <f>Thu!J16</f>
        <v>0</v>
      </c>
      <c r="J37" s="669"/>
    </row>
    <row r="38" spans="1:16" ht="24" customHeight="1" x14ac:dyDescent="0.3">
      <c r="A38" s="220"/>
      <c r="B38" s="648" t="s">
        <v>100</v>
      </c>
      <c r="C38" s="649"/>
      <c r="D38" s="650"/>
      <c r="F38" s="657" t="s">
        <v>87</v>
      </c>
      <c r="G38" s="659"/>
      <c r="H38" s="660"/>
      <c r="I38" s="660"/>
      <c r="J38" s="661"/>
    </row>
    <row r="39" spans="1:16" ht="24" customHeight="1" thickBot="1" x14ac:dyDescent="0.35">
      <c r="A39" s="220" t="s">
        <v>101</v>
      </c>
      <c r="B39" s="695"/>
      <c r="C39" s="696"/>
      <c r="D39" s="697"/>
      <c r="F39" s="658"/>
      <c r="G39" s="662"/>
      <c r="H39" s="663"/>
      <c r="I39" s="663"/>
      <c r="J39" s="664"/>
    </row>
    <row r="40" spans="1:16" ht="24" customHeight="1" x14ac:dyDescent="0.3">
      <c r="A40" s="220" t="s">
        <v>102</v>
      </c>
      <c r="B40" s="639" t="e">
        <f>Takings!B27/Takings!E27</f>
        <v>#DIV/0!</v>
      </c>
      <c r="C40" s="640"/>
      <c r="D40" s="641"/>
      <c r="F40" s="657" t="s">
        <v>91</v>
      </c>
      <c r="G40" s="659"/>
      <c r="H40" s="660"/>
      <c r="I40" s="660"/>
      <c r="J40" s="661"/>
    </row>
    <row r="41" spans="1:16" ht="24" customHeight="1" thickBot="1" x14ac:dyDescent="0.35">
      <c r="A41" s="220" t="s">
        <v>103</v>
      </c>
      <c r="B41" s="645"/>
      <c r="C41" s="646"/>
      <c r="D41" s="647"/>
      <c r="F41" s="658"/>
      <c r="G41" s="662"/>
      <c r="H41" s="663"/>
      <c r="I41" s="663"/>
      <c r="J41" s="664"/>
      <c r="P41" s="584"/>
    </row>
    <row r="42" spans="1:16" ht="24" customHeight="1" x14ac:dyDescent="0.3">
      <c r="A42" s="230"/>
      <c r="B42" s="642" t="s">
        <v>22</v>
      </c>
      <c r="C42" s="643"/>
      <c r="D42" s="644"/>
      <c r="F42" s="657" t="s">
        <v>94</v>
      </c>
      <c r="G42" s="670"/>
      <c r="H42" s="671"/>
      <c r="I42" s="671"/>
      <c r="J42" s="672"/>
    </row>
    <row r="43" spans="1:16" ht="24" customHeight="1" thickBot="1" x14ac:dyDescent="0.35">
      <c r="A43" s="220" t="s">
        <v>104</v>
      </c>
      <c r="B43" s="636"/>
      <c r="C43" s="637"/>
      <c r="D43" s="638"/>
      <c r="F43" s="658"/>
      <c r="G43" s="673"/>
      <c r="H43" s="674"/>
      <c r="I43" s="674"/>
      <c r="J43" s="675"/>
    </row>
    <row r="44" spans="1:16" ht="24" customHeight="1" thickBot="1" x14ac:dyDescent="0.35">
      <c r="A44" s="220" t="s">
        <v>105</v>
      </c>
      <c r="B44" s="693"/>
      <c r="C44" s="636"/>
      <c r="D44" s="694"/>
      <c r="F44" s="739" t="s">
        <v>106</v>
      </c>
      <c r="G44" s="740"/>
      <c r="H44" s="740"/>
      <c r="I44" s="740"/>
      <c r="J44" s="741"/>
    </row>
    <row r="45" spans="1:16" ht="24" customHeight="1" thickBot="1" x14ac:dyDescent="0.35">
      <c r="A45" s="220" t="s">
        <v>107</v>
      </c>
      <c r="B45" s="414"/>
      <c r="C45" s="415"/>
      <c r="D45" s="231"/>
      <c r="F45" s="578" t="s">
        <v>79</v>
      </c>
      <c r="G45" s="583">
        <f>Thu!C36+Thu!C42</f>
        <v>0</v>
      </c>
      <c r="H45" s="578" t="s">
        <v>85</v>
      </c>
      <c r="I45" s="668">
        <f>Thu!J43</f>
        <v>0</v>
      </c>
      <c r="J45" s="669"/>
    </row>
    <row r="46" spans="1:16" ht="24" customHeight="1" thickBot="1" x14ac:dyDescent="0.35">
      <c r="A46" s="582"/>
      <c r="B46" s="681"/>
      <c r="C46" s="682"/>
      <c r="D46" s="683"/>
      <c r="F46" s="657" t="s">
        <v>87</v>
      </c>
      <c r="G46" s="659"/>
      <c r="H46" s="660"/>
      <c r="I46" s="660"/>
      <c r="J46" s="661"/>
    </row>
    <row r="47" spans="1:16" ht="24" customHeight="1" thickBot="1" x14ac:dyDescent="0.35">
      <c r="A47" s="581"/>
      <c r="B47" s="690" t="s">
        <v>108</v>
      </c>
      <c r="C47" s="691"/>
      <c r="D47" s="692"/>
      <c r="F47" s="658"/>
      <c r="G47" s="662"/>
      <c r="H47" s="663"/>
      <c r="I47" s="663"/>
      <c r="J47" s="664"/>
    </row>
    <row r="48" spans="1:16" ht="24" customHeight="1" x14ac:dyDescent="0.3">
      <c r="A48" s="579" t="s">
        <v>104</v>
      </c>
      <c r="B48" s="684"/>
      <c r="C48" s="685"/>
      <c r="D48" s="686"/>
      <c r="F48" s="657" t="s">
        <v>91</v>
      </c>
      <c r="G48" s="659"/>
      <c r="H48" s="660"/>
      <c r="I48" s="660"/>
      <c r="J48" s="661"/>
    </row>
    <row r="49" spans="1:10" ht="24" customHeight="1" thickBot="1" x14ac:dyDescent="0.35">
      <c r="A49" s="580" t="s">
        <v>105</v>
      </c>
      <c r="B49" s="687"/>
      <c r="C49" s="688"/>
      <c r="D49" s="689"/>
      <c r="F49" s="658"/>
      <c r="G49" s="662"/>
      <c r="H49" s="663"/>
      <c r="I49" s="663"/>
      <c r="J49" s="664"/>
    </row>
    <row r="50" spans="1:10" ht="24" customHeight="1" x14ac:dyDescent="0.3">
      <c r="A50" s="230"/>
      <c r="B50" s="705" t="s">
        <v>109</v>
      </c>
      <c r="C50" s="643"/>
      <c r="D50" s="644"/>
      <c r="F50" s="657" t="s">
        <v>94</v>
      </c>
      <c r="G50" s="659"/>
      <c r="H50" s="660"/>
      <c r="I50" s="660"/>
      <c r="J50" s="661"/>
    </row>
    <row r="51" spans="1:10" ht="24" customHeight="1" thickBot="1" x14ac:dyDescent="0.35">
      <c r="A51" s="232" t="s">
        <v>110</v>
      </c>
      <c r="B51" s="693"/>
      <c r="C51" s="637"/>
      <c r="D51" s="638"/>
      <c r="F51" s="658"/>
      <c r="G51" s="662"/>
      <c r="H51" s="663"/>
      <c r="I51" s="663"/>
      <c r="J51" s="664"/>
    </row>
    <row r="52" spans="1:10" ht="24" customHeight="1" x14ac:dyDescent="0.3">
      <c r="A52" s="220" t="s">
        <v>111</v>
      </c>
      <c r="B52" s="251" t="s">
        <v>112</v>
      </c>
      <c r="C52" s="253" t="s">
        <v>113</v>
      </c>
      <c r="D52" s="252"/>
    </row>
    <row r="53" spans="1:10" ht="24" customHeight="1" thickBot="1" x14ac:dyDescent="0.35">
      <c r="A53" s="220" t="s">
        <v>114</v>
      </c>
      <c r="B53" s="693" t="s">
        <v>112</v>
      </c>
      <c r="C53" s="637"/>
      <c r="D53" s="638"/>
    </row>
    <row r="54" spans="1:10" ht="24" customHeight="1" thickBot="1" x14ac:dyDescent="0.35">
      <c r="A54" s="230"/>
      <c r="B54" s="705" t="s">
        <v>115</v>
      </c>
      <c r="C54" s="643"/>
      <c r="D54" s="644"/>
      <c r="F54" s="198" t="s">
        <v>116</v>
      </c>
    </row>
    <row r="55" spans="1:10" ht="24" customHeight="1" x14ac:dyDescent="0.3">
      <c r="A55" s="220" t="s">
        <v>117</v>
      </c>
      <c r="B55" s="693"/>
      <c r="C55" s="637"/>
      <c r="D55" s="638"/>
      <c r="F55" s="208" t="s">
        <v>118</v>
      </c>
      <c r="G55" s="651" t="s">
        <v>119</v>
      </c>
      <c r="H55" s="652"/>
      <c r="I55" s="653"/>
      <c r="J55" s="209" t="s">
        <v>120</v>
      </c>
    </row>
    <row r="56" spans="1:10" ht="24" customHeight="1" x14ac:dyDescent="0.3">
      <c r="A56" s="220" t="s">
        <v>111</v>
      </c>
      <c r="B56" s="693"/>
      <c r="C56" s="637"/>
      <c r="D56" s="638"/>
      <c r="F56" s="343"/>
      <c r="G56" s="654"/>
      <c r="H56" s="655"/>
      <c r="I56" s="656"/>
      <c r="J56" s="215"/>
    </row>
    <row r="57" spans="1:10" ht="24" customHeight="1" thickBot="1" x14ac:dyDescent="0.35">
      <c r="A57" s="220" t="s">
        <v>114</v>
      </c>
      <c r="B57" s="693"/>
      <c r="C57" s="637"/>
      <c r="D57" s="638"/>
      <c r="F57" s="343"/>
      <c r="G57" s="654"/>
      <c r="H57" s="655"/>
      <c r="I57" s="656"/>
      <c r="J57" s="215"/>
    </row>
    <row r="58" spans="1:10" ht="24" customHeight="1" x14ac:dyDescent="0.3">
      <c r="A58" s="238"/>
      <c r="B58" s="620" t="s">
        <v>121</v>
      </c>
      <c r="C58" s="620"/>
      <c r="D58" s="621"/>
      <c r="F58" s="343"/>
      <c r="G58" s="654"/>
      <c r="H58" s="655"/>
      <c r="I58" s="656"/>
      <c r="J58" s="215"/>
    </row>
    <row r="59" spans="1:10" ht="24" customHeight="1" x14ac:dyDescent="0.3">
      <c r="A59" s="239" t="s">
        <v>122</v>
      </c>
      <c r="B59" s="622"/>
      <c r="C59" s="623"/>
      <c r="D59" s="624"/>
      <c r="F59" s="343"/>
      <c r="G59" s="654"/>
      <c r="H59" s="655"/>
      <c r="I59" s="656"/>
      <c r="J59" s="215"/>
    </row>
    <row r="60" spans="1:10" ht="24" customHeight="1" thickBot="1" x14ac:dyDescent="0.35">
      <c r="A60" s="239" t="s">
        <v>123</v>
      </c>
      <c r="B60" s="614"/>
      <c r="C60" s="710"/>
      <c r="D60" s="711"/>
      <c r="E60" s="237"/>
      <c r="F60" s="343"/>
      <c r="G60" s="654"/>
      <c r="H60" s="655"/>
      <c r="I60" s="656"/>
      <c r="J60" s="215"/>
    </row>
    <row r="61" spans="1:10" ht="24" customHeight="1" x14ac:dyDescent="0.3">
      <c r="A61" s="238"/>
      <c r="B61" s="713" t="s">
        <v>124</v>
      </c>
      <c r="C61" s="620"/>
      <c r="D61" s="621"/>
      <c r="E61" s="237"/>
      <c r="F61" s="214"/>
      <c r="G61" s="654"/>
      <c r="H61" s="655"/>
      <c r="I61" s="656"/>
      <c r="J61" s="215"/>
    </row>
    <row r="62" spans="1:10" ht="24" customHeight="1" x14ac:dyDescent="0.3">
      <c r="A62" s="239" t="s">
        <v>125</v>
      </c>
      <c r="B62" s="614"/>
      <c r="C62" s="615"/>
      <c r="D62" s="616"/>
      <c r="E62" s="237"/>
      <c r="F62" s="214"/>
      <c r="G62" s="654"/>
      <c r="H62" s="655"/>
      <c r="I62" s="656"/>
      <c r="J62" s="215"/>
    </row>
    <row r="63" spans="1:10" ht="24" customHeight="1" thickBot="1" x14ac:dyDescent="0.35">
      <c r="A63" s="240"/>
      <c r="B63" s="617"/>
      <c r="C63" s="618"/>
      <c r="D63" s="619"/>
      <c r="E63" s="237"/>
      <c r="F63" s="216"/>
      <c r="G63" s="707"/>
      <c r="H63" s="708"/>
      <c r="I63" s="709"/>
      <c r="J63" s="217"/>
    </row>
    <row r="64" spans="1:10" ht="24" customHeight="1" thickBot="1" x14ac:dyDescent="0.35">
      <c r="A64" s="241" t="s">
        <v>126</v>
      </c>
      <c r="B64" s="706"/>
      <c r="C64" s="714"/>
      <c r="D64" s="715"/>
      <c r="E64" s="237"/>
    </row>
    <row r="65" spans="1:10" ht="24" customHeight="1" x14ac:dyDescent="0.3">
      <c r="A65" s="242"/>
      <c r="B65" s="717" t="s">
        <v>127</v>
      </c>
      <c r="C65" s="718"/>
      <c r="D65" s="719"/>
      <c r="E65" s="237"/>
      <c r="F65" s="218" t="s">
        <v>88</v>
      </c>
      <c r="G65" s="218"/>
      <c r="H65" s="198" t="s">
        <v>128</v>
      </c>
      <c r="I65" s="218" t="s">
        <v>129</v>
      </c>
      <c r="J65" s="218" t="s">
        <v>130</v>
      </c>
    </row>
    <row r="66" spans="1:10" ht="24" customHeight="1" thickBot="1" x14ac:dyDescent="0.35">
      <c r="A66" s="434" t="s">
        <v>131</v>
      </c>
      <c r="B66" s="712"/>
      <c r="C66" s="720"/>
      <c r="D66" s="721"/>
      <c r="E66" s="237"/>
      <c r="F66" s="92" t="s">
        <v>130</v>
      </c>
      <c r="G66" s="92" t="s">
        <v>40</v>
      </c>
      <c r="H66" s="92" t="s">
        <v>40</v>
      </c>
      <c r="I66" s="92" t="s">
        <v>132</v>
      </c>
      <c r="J66" s="92" t="s">
        <v>133</v>
      </c>
    </row>
    <row r="67" spans="1:10" ht="24" customHeight="1" x14ac:dyDescent="0.3">
      <c r="A67" s="339" t="s">
        <v>134</v>
      </c>
      <c r="B67" s="712"/>
      <c r="C67" s="720"/>
      <c r="D67" s="721"/>
      <c r="E67" s="237"/>
      <c r="F67" s="110" t="s">
        <v>135</v>
      </c>
      <c r="G67" s="221"/>
      <c r="H67" s="222"/>
      <c r="I67" s="223"/>
      <c r="J67" s="224">
        <v>23</v>
      </c>
    </row>
    <row r="68" spans="1:10" ht="24" customHeight="1" x14ac:dyDescent="0.3">
      <c r="A68" s="243" t="s">
        <v>136</v>
      </c>
      <c r="B68" s="712"/>
      <c r="C68" s="710"/>
      <c r="D68" s="711"/>
      <c r="F68" s="118" t="s">
        <v>137</v>
      </c>
      <c r="G68" s="226"/>
      <c r="H68" s="227">
        <f t="shared" ref="H68:H73" si="0">G68-G67</f>
        <v>0</v>
      </c>
      <c r="I68" s="228"/>
      <c r="J68" s="229">
        <v>23</v>
      </c>
    </row>
    <row r="69" spans="1:10" ht="24" customHeight="1" thickBot="1" x14ac:dyDescent="0.35">
      <c r="A69" s="243" t="s">
        <v>138</v>
      </c>
      <c r="B69" s="716"/>
      <c r="C69" s="682"/>
      <c r="D69" s="683"/>
      <c r="F69" s="118" t="s">
        <v>139</v>
      </c>
      <c r="G69" s="226"/>
      <c r="H69" s="227">
        <f t="shared" si="0"/>
        <v>0</v>
      </c>
      <c r="I69" s="228"/>
      <c r="J69" s="229">
        <v>23</v>
      </c>
    </row>
    <row r="70" spans="1:10" ht="24" customHeight="1" x14ac:dyDescent="0.3">
      <c r="A70" s="244"/>
      <c r="B70" s="713" t="s">
        <v>140</v>
      </c>
      <c r="C70" s="620"/>
      <c r="D70" s="621"/>
      <c r="F70" s="118" t="s">
        <v>141</v>
      </c>
      <c r="G70" s="226"/>
      <c r="H70" s="227">
        <f t="shared" si="0"/>
        <v>0</v>
      </c>
      <c r="I70" s="228"/>
      <c r="J70" s="229">
        <v>23</v>
      </c>
    </row>
    <row r="71" spans="1:10" ht="24" customHeight="1" x14ac:dyDescent="0.3">
      <c r="A71" s="243" t="s">
        <v>142</v>
      </c>
      <c r="B71" s="614"/>
      <c r="C71" s="710"/>
      <c r="D71" s="711"/>
      <c r="F71" s="118" t="s">
        <v>143</v>
      </c>
      <c r="G71" s="226"/>
      <c r="H71" s="227">
        <f t="shared" si="0"/>
        <v>0</v>
      </c>
      <c r="I71" s="228"/>
      <c r="J71" s="229">
        <v>23</v>
      </c>
    </row>
    <row r="72" spans="1:10" ht="24" customHeight="1" thickBot="1" x14ac:dyDescent="0.35">
      <c r="A72" s="245" t="s">
        <v>144</v>
      </c>
      <c r="B72" s="706"/>
      <c r="C72" s="682"/>
      <c r="D72" s="683"/>
      <c r="F72" s="118" t="s">
        <v>145</v>
      </c>
      <c r="G72" s="226"/>
      <c r="H72" s="227">
        <f t="shared" si="0"/>
        <v>0</v>
      </c>
      <c r="I72" s="228"/>
      <c r="J72" s="229">
        <v>23</v>
      </c>
    </row>
    <row r="73" spans="1:10" ht="24" customHeight="1" x14ac:dyDescent="0.3">
      <c r="F73" s="118" t="s">
        <v>146</v>
      </c>
      <c r="G73" s="226"/>
      <c r="H73" s="227">
        <f t="shared" si="0"/>
        <v>0</v>
      </c>
      <c r="I73" s="228"/>
      <c r="J73" s="229">
        <v>23</v>
      </c>
    </row>
    <row r="74" spans="1:10" ht="24" customHeight="1" x14ac:dyDescent="0.3">
      <c r="F74" s="118" t="s">
        <v>147</v>
      </c>
      <c r="G74" s="226"/>
      <c r="H74" s="227">
        <f t="shared" ref="H74:H85" si="1">G74-G73</f>
        <v>0</v>
      </c>
      <c r="I74" s="228"/>
      <c r="J74" s="229">
        <v>23</v>
      </c>
    </row>
    <row r="75" spans="1:10" ht="24" customHeight="1" x14ac:dyDescent="0.3">
      <c r="F75" s="118" t="s">
        <v>148</v>
      </c>
      <c r="G75" s="226"/>
      <c r="H75" s="227">
        <f t="shared" si="1"/>
        <v>0</v>
      </c>
      <c r="I75" s="228"/>
      <c r="J75" s="229">
        <v>23</v>
      </c>
    </row>
    <row r="76" spans="1:10" ht="24" customHeight="1" x14ac:dyDescent="0.3">
      <c r="F76" s="118" t="s">
        <v>149</v>
      </c>
      <c r="G76" s="226"/>
      <c r="H76" s="227">
        <f t="shared" si="1"/>
        <v>0</v>
      </c>
      <c r="I76" s="228"/>
      <c r="J76" s="229">
        <v>23</v>
      </c>
    </row>
    <row r="77" spans="1:10" ht="24" customHeight="1" x14ac:dyDescent="0.3">
      <c r="F77" s="118" t="s">
        <v>150</v>
      </c>
      <c r="G77" s="226"/>
      <c r="H77" s="227">
        <f t="shared" si="1"/>
        <v>0</v>
      </c>
      <c r="I77" s="228"/>
      <c r="J77" s="229">
        <v>23</v>
      </c>
    </row>
    <row r="78" spans="1:10" ht="24" customHeight="1" x14ac:dyDescent="0.3">
      <c r="F78" s="118" t="s">
        <v>151</v>
      </c>
      <c r="G78" s="226"/>
      <c r="H78" s="227">
        <f t="shared" si="1"/>
        <v>0</v>
      </c>
      <c r="I78" s="228"/>
      <c r="J78" s="229">
        <v>23</v>
      </c>
    </row>
    <row r="79" spans="1:10" ht="24" customHeight="1" x14ac:dyDescent="0.3">
      <c r="F79" s="118" t="s">
        <v>152</v>
      </c>
      <c r="G79" s="226"/>
      <c r="H79" s="227">
        <f t="shared" si="1"/>
        <v>0</v>
      </c>
      <c r="I79" s="228"/>
      <c r="J79" s="229">
        <v>23</v>
      </c>
    </row>
    <row r="80" spans="1:10" ht="24" customHeight="1" x14ac:dyDescent="0.3">
      <c r="F80" s="118" t="s">
        <v>153</v>
      </c>
      <c r="G80" s="226"/>
      <c r="H80" s="227">
        <f t="shared" si="1"/>
        <v>0</v>
      </c>
      <c r="I80" s="228"/>
      <c r="J80" s="229">
        <v>23</v>
      </c>
    </row>
    <row r="81" spans="6:10" ht="24" customHeight="1" x14ac:dyDescent="0.3">
      <c r="F81" s="118" t="s">
        <v>154</v>
      </c>
      <c r="G81" s="226"/>
      <c r="H81" s="227">
        <f t="shared" si="1"/>
        <v>0</v>
      </c>
      <c r="I81" s="228"/>
      <c r="J81" s="229">
        <v>23</v>
      </c>
    </row>
    <row r="82" spans="6:10" ht="24" customHeight="1" x14ac:dyDescent="0.3">
      <c r="F82" s="118" t="s">
        <v>155</v>
      </c>
      <c r="G82" s="226"/>
      <c r="H82" s="227">
        <f t="shared" si="1"/>
        <v>0</v>
      </c>
      <c r="I82" s="228"/>
      <c r="J82" s="229">
        <v>23</v>
      </c>
    </row>
    <row r="83" spans="6:10" ht="24" customHeight="1" x14ac:dyDescent="0.3">
      <c r="F83" s="118" t="s">
        <v>156</v>
      </c>
      <c r="G83" s="226"/>
      <c r="H83" s="227">
        <f t="shared" si="1"/>
        <v>0</v>
      </c>
      <c r="I83" s="228"/>
      <c r="J83" s="229">
        <v>23</v>
      </c>
    </row>
    <row r="84" spans="6:10" ht="24" customHeight="1" x14ac:dyDescent="0.3">
      <c r="F84" s="118" t="s">
        <v>157</v>
      </c>
      <c r="G84" s="226"/>
      <c r="H84" s="227">
        <f t="shared" si="1"/>
        <v>0</v>
      </c>
      <c r="I84" s="228"/>
      <c r="J84" s="229">
        <v>23</v>
      </c>
    </row>
    <row r="85" spans="6:10" ht="24" customHeight="1" thickBot="1" x14ac:dyDescent="0.35">
      <c r="F85" s="127" t="s">
        <v>158</v>
      </c>
      <c r="G85" s="233"/>
      <c r="H85" s="234">
        <f t="shared" si="1"/>
        <v>0</v>
      </c>
      <c r="I85" s="235"/>
      <c r="J85" s="236">
        <v>23</v>
      </c>
    </row>
    <row r="86" spans="6:10" ht="24" customHeight="1" x14ac:dyDescent="0.3"/>
    <row r="87" spans="6:10" ht="24" customHeight="1" x14ac:dyDescent="0.3"/>
    <row r="88" spans="6:10" ht="24" customHeight="1" x14ac:dyDescent="0.3"/>
    <row r="89" spans="6:10" ht="24" customHeight="1" x14ac:dyDescent="0.3"/>
    <row r="90" spans="6:10" ht="24" customHeight="1" x14ac:dyDescent="0.3"/>
    <row r="91" spans="6:10" ht="24" customHeight="1" x14ac:dyDescent="0.3"/>
    <row r="92" spans="6:10" ht="24" customHeight="1" x14ac:dyDescent="0.3"/>
    <row r="93" spans="6:10" ht="24" customHeight="1" x14ac:dyDescent="0.3"/>
    <row r="94" spans="6:10" ht="24" customHeight="1" x14ac:dyDescent="0.3"/>
    <row r="95" spans="6:10" ht="24" customHeight="1" x14ac:dyDescent="0.3"/>
    <row r="96" spans="6:10" ht="24" customHeight="1" x14ac:dyDescent="0.3"/>
    <row r="97" spans="1:4" ht="24" customHeight="1" x14ac:dyDescent="0.3"/>
    <row r="98" spans="1:4" ht="24" customHeight="1" x14ac:dyDescent="0.3"/>
    <row r="99" spans="1:4" ht="24" customHeight="1" x14ac:dyDescent="0.3"/>
    <row r="100" spans="1:4" ht="24" customHeight="1" x14ac:dyDescent="0.3"/>
    <row r="101" spans="1:4" ht="24" customHeight="1" x14ac:dyDescent="0.3"/>
    <row r="102" spans="1:4" ht="24" customHeight="1" x14ac:dyDescent="0.3">
      <c r="A102" s="237"/>
      <c r="B102" s="237"/>
      <c r="C102" s="237"/>
      <c r="D102" s="237"/>
    </row>
    <row r="103" spans="1:4" ht="24" customHeight="1" x14ac:dyDescent="0.3">
      <c r="A103" s="237"/>
      <c r="B103" s="237"/>
      <c r="C103" s="237"/>
      <c r="D103" s="237"/>
    </row>
    <row r="104" spans="1:4" ht="24" customHeight="1" x14ac:dyDescent="0.3">
      <c r="A104" s="237"/>
      <c r="B104" s="237"/>
      <c r="C104" s="237"/>
      <c r="D104" s="237"/>
    </row>
    <row r="105" spans="1:4" ht="24" customHeight="1" x14ac:dyDescent="0.3">
      <c r="A105" s="237"/>
      <c r="B105" s="237"/>
      <c r="C105" s="237"/>
      <c r="D105" s="237"/>
    </row>
    <row r="106" spans="1:4" ht="24" customHeight="1" x14ac:dyDescent="0.3">
      <c r="A106" s="237"/>
      <c r="B106" s="237"/>
      <c r="C106" s="237"/>
      <c r="D106" s="237"/>
    </row>
    <row r="107" spans="1:4" x14ac:dyDescent="0.3">
      <c r="A107" s="237"/>
      <c r="B107" s="237"/>
      <c r="C107" s="237"/>
      <c r="D107" s="237"/>
    </row>
    <row r="108" spans="1:4" x14ac:dyDescent="0.3">
      <c r="A108" s="237"/>
      <c r="B108" s="237"/>
      <c r="C108" s="237"/>
      <c r="D108" s="237"/>
    </row>
  </sheetData>
  <sheetProtection algorithmName="SHA-512" hashValue="SCCPif2BWgzyisY3Aw5iVFqkJ9ejOC6Fbpm9+pGhKs9OBbiJrdxCMFQi/QkvNqBZuzl9cGVhDwxgMX3xdMYTxQ==" saltValue="jHz95oMSVp2BQLASo1rkLA==" spinCount="100000" sheet="1" objects="1" scenarios="1"/>
  <protectedRanges>
    <protectedRange sqref="A14:A15" name="Range1"/>
    <protectedRange sqref="A9:A13" name="Range1_1"/>
  </protectedRanges>
  <mergeCells count="95">
    <mergeCell ref="F48:F49"/>
    <mergeCell ref="G48:J49"/>
    <mergeCell ref="F50:F51"/>
    <mergeCell ref="G50:J51"/>
    <mergeCell ref="F42:F43"/>
    <mergeCell ref="G42:J43"/>
    <mergeCell ref="F44:J44"/>
    <mergeCell ref="I45:J45"/>
    <mergeCell ref="F46:F47"/>
    <mergeCell ref="G46:J47"/>
    <mergeCell ref="I37:J37"/>
    <mergeCell ref="F38:F39"/>
    <mergeCell ref="G38:J39"/>
    <mergeCell ref="F40:F41"/>
    <mergeCell ref="G40:J41"/>
    <mergeCell ref="F20:J20"/>
    <mergeCell ref="I21:J21"/>
    <mergeCell ref="F22:F23"/>
    <mergeCell ref="G22:J23"/>
    <mergeCell ref="F24:F25"/>
    <mergeCell ref="G24:J25"/>
    <mergeCell ref="F14:J14"/>
    <mergeCell ref="I15:J15"/>
    <mergeCell ref="F16:F17"/>
    <mergeCell ref="G16:J17"/>
    <mergeCell ref="F18:F19"/>
    <mergeCell ref="G18:J19"/>
    <mergeCell ref="B44:D44"/>
    <mergeCell ref="B51:D51"/>
    <mergeCell ref="B61:D61"/>
    <mergeCell ref="B62:D63"/>
    <mergeCell ref="B72:D72"/>
    <mergeCell ref="B71:D71"/>
    <mergeCell ref="B56:D56"/>
    <mergeCell ref="B65:D65"/>
    <mergeCell ref="B67:D67"/>
    <mergeCell ref="B60:D60"/>
    <mergeCell ref="B69:D69"/>
    <mergeCell ref="B70:D70"/>
    <mergeCell ref="B58:D58"/>
    <mergeCell ref="B59:D59"/>
    <mergeCell ref="B64:D64"/>
    <mergeCell ref="B68:D68"/>
    <mergeCell ref="B57:D57"/>
    <mergeCell ref="B66:D66"/>
    <mergeCell ref="G59:I59"/>
    <mergeCell ref="G60:I60"/>
    <mergeCell ref="G61:I61"/>
    <mergeCell ref="G62:I62"/>
    <mergeCell ref="G63:I63"/>
    <mergeCell ref="B55:D55"/>
    <mergeCell ref="B31:D31"/>
    <mergeCell ref="B46:D46"/>
    <mergeCell ref="B48:D48"/>
    <mergeCell ref="B49:D49"/>
    <mergeCell ref="B47:D47"/>
    <mergeCell ref="B50:D50"/>
    <mergeCell ref="B54:D54"/>
    <mergeCell ref="B53:D53"/>
    <mergeCell ref="B43:D43"/>
    <mergeCell ref="B42:D42"/>
    <mergeCell ref="B38:D38"/>
    <mergeCell ref="B39:D39"/>
    <mergeCell ref="B35:D35"/>
    <mergeCell ref="B36:D36"/>
    <mergeCell ref="B37:D37"/>
    <mergeCell ref="G55:I55"/>
    <mergeCell ref="G56:I56"/>
    <mergeCell ref="B23:D23"/>
    <mergeCell ref="G57:I57"/>
    <mergeCell ref="G58:I58"/>
    <mergeCell ref="F26:F27"/>
    <mergeCell ref="G26:J27"/>
    <mergeCell ref="F28:J28"/>
    <mergeCell ref="I29:J29"/>
    <mergeCell ref="F30:F31"/>
    <mergeCell ref="G30:J31"/>
    <mergeCell ref="F32:F33"/>
    <mergeCell ref="G32:J33"/>
    <mergeCell ref="F34:F35"/>
    <mergeCell ref="G34:J35"/>
    <mergeCell ref="F36:J36"/>
    <mergeCell ref="B41:D41"/>
    <mergeCell ref="B40:D40"/>
    <mergeCell ref="B34:D34"/>
    <mergeCell ref="B33:D33"/>
    <mergeCell ref="A1:D1"/>
    <mergeCell ref="A2:D2"/>
    <mergeCell ref="A3:D3"/>
    <mergeCell ref="B27:D27"/>
    <mergeCell ref="B32:D32"/>
    <mergeCell ref="B26:D26"/>
    <mergeCell ref="B25:D25"/>
    <mergeCell ref="B30:D30"/>
    <mergeCell ref="B29:D29"/>
  </mergeCells>
  <conditionalFormatting sqref="B40:D40">
    <cfRule type="cellIs" dxfId="3" priority="1" operator="lessThan">
      <formula>2.1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R63"/>
  <sheetViews>
    <sheetView topLeftCell="A29" zoomScale="85" zoomScaleNormal="85" workbookViewId="0">
      <selection activeCell="Q8" sqref="Q8"/>
    </sheetView>
  </sheetViews>
  <sheetFormatPr defaultColWidth="9.140625" defaultRowHeight="12.75" x14ac:dyDescent="0.2"/>
  <cols>
    <col min="1" max="1" width="18.140625" style="1" customWidth="1"/>
    <col min="2" max="2" width="13.7109375" style="1" customWidth="1"/>
    <col min="3" max="5" width="11.42578125" style="1" customWidth="1"/>
    <col min="6" max="7" width="13.7109375" style="1" customWidth="1"/>
    <col min="8" max="8" width="13.7109375" style="1" hidden="1" customWidth="1"/>
    <col min="9" max="9" width="15.28515625" style="1" customWidth="1"/>
    <col min="10" max="10" width="13.7109375" style="1" customWidth="1"/>
    <col min="11" max="11" width="16.28515625" style="1" customWidth="1"/>
    <col min="12" max="12" width="13.7109375" style="1" customWidth="1"/>
    <col min="13" max="13" width="9.28515625" style="1" customWidth="1"/>
    <col min="14" max="14" width="15.140625" style="1" customWidth="1"/>
    <col min="15" max="15" width="14.5703125" style="1" customWidth="1"/>
    <col min="16" max="16" width="4.42578125" style="1" customWidth="1"/>
    <col min="17" max="17" width="17.7109375" style="1" bestFit="1" customWidth="1"/>
    <col min="18" max="18" width="14" style="1" customWidth="1"/>
    <col min="19" max="16384" width="9.140625" style="1"/>
  </cols>
  <sheetData>
    <row r="1" spans="1:18" ht="20.25" x14ac:dyDescent="0.3">
      <c r="A1" s="742" t="s">
        <v>0</v>
      </c>
      <c r="B1" s="742"/>
      <c r="C1" s="742"/>
      <c r="D1" s="742"/>
      <c r="E1" s="742"/>
      <c r="F1" s="742"/>
      <c r="G1" s="742"/>
      <c r="H1" s="742"/>
      <c r="I1" s="742"/>
      <c r="J1" s="742"/>
      <c r="K1" s="742"/>
      <c r="L1" s="742"/>
    </row>
    <row r="2" spans="1:18" ht="20.25" x14ac:dyDescent="0.3">
      <c r="A2" s="742" t="s">
        <v>167</v>
      </c>
      <c r="B2" s="742"/>
      <c r="C2" s="742"/>
      <c r="D2" s="742"/>
      <c r="E2" s="742"/>
      <c r="F2" s="742"/>
      <c r="G2" s="742"/>
      <c r="H2" s="742"/>
      <c r="I2" s="742"/>
      <c r="J2" s="742"/>
      <c r="K2" s="742"/>
      <c r="L2" s="742"/>
    </row>
    <row r="3" spans="1:18" ht="16.5" thickBot="1" x14ac:dyDescent="0.3">
      <c r="K3" s="20" t="s">
        <v>2</v>
      </c>
      <c r="L3" s="21">
        <f>Thu!L3+1</f>
        <v>46059</v>
      </c>
      <c r="N3" s="9" t="s">
        <v>3</v>
      </c>
      <c r="O3" s="5"/>
      <c r="P3" s="5"/>
      <c r="Q3" s="9" t="s">
        <v>4</v>
      </c>
      <c r="R3" s="5"/>
    </row>
    <row r="4" spans="1:18" s="5" customFormat="1" ht="15.75" thickBot="1" x14ac:dyDescent="0.3">
      <c r="A4" s="360" t="s">
        <v>5</v>
      </c>
      <c r="B4" s="361" t="s">
        <v>6</v>
      </c>
      <c r="C4" s="94" t="s">
        <v>4</v>
      </c>
      <c r="D4" s="94" t="s">
        <v>7</v>
      </c>
      <c r="E4" s="94" t="s">
        <v>8</v>
      </c>
      <c r="F4" s="6" t="s">
        <v>9</v>
      </c>
      <c r="G4" s="356" t="s">
        <v>10</v>
      </c>
      <c r="H4" s="447" t="s">
        <v>11</v>
      </c>
      <c r="I4" s="94" t="s">
        <v>12</v>
      </c>
      <c r="J4" s="6" t="s">
        <v>13</v>
      </c>
      <c r="K4" s="7" t="s">
        <v>14</v>
      </c>
      <c r="L4" s="6" t="s">
        <v>15</v>
      </c>
      <c r="N4" s="52"/>
      <c r="O4" s="41"/>
      <c r="P4" s="3"/>
      <c r="Q4" s="52" t="str">
        <f>A4</f>
        <v>BISTRO</v>
      </c>
      <c r="R4" s="32">
        <f>C8</f>
        <v>0</v>
      </c>
    </row>
    <row r="5" spans="1:18" s="5" customFormat="1" ht="15" thickBot="1" x14ac:dyDescent="0.25">
      <c r="A5" s="362"/>
      <c r="B5" s="52"/>
      <c r="C5" s="359"/>
      <c r="D5" s="359"/>
      <c r="E5" s="359"/>
      <c r="F5" s="24">
        <f>B5-(D5+L5)</f>
        <v>0</v>
      </c>
      <c r="G5" s="357"/>
      <c r="H5" s="448"/>
      <c r="I5" s="463"/>
      <c r="J5" s="31"/>
      <c r="K5" s="32">
        <f>SUM(I5+J5+H5+G5)-F5</f>
        <v>0</v>
      </c>
      <c r="L5" s="33"/>
      <c r="N5" s="53"/>
      <c r="O5" s="49"/>
      <c r="P5" s="3"/>
      <c r="Q5" s="53" t="str">
        <f>A11</f>
        <v>SPORTS BAR</v>
      </c>
      <c r="R5" s="24">
        <f>C15</f>
        <v>0</v>
      </c>
    </row>
    <row r="6" spans="1:18" s="5" customFormat="1" ht="15" thickBot="1" x14ac:dyDescent="0.25">
      <c r="A6" s="55"/>
      <c r="B6" s="22"/>
      <c r="C6" s="23"/>
      <c r="D6" s="23"/>
      <c r="E6" s="472"/>
      <c r="F6" s="25">
        <f>B6-(D6+L6)</f>
        <v>0</v>
      </c>
      <c r="G6" s="358"/>
      <c r="H6" s="449"/>
      <c r="I6" s="464"/>
      <c r="J6" s="34"/>
      <c r="K6" s="32">
        <f>SUM(I6+J6+H6+G6)-F6</f>
        <v>0</v>
      </c>
      <c r="L6" s="33"/>
      <c r="N6" s="54"/>
      <c r="O6" s="44"/>
      <c r="P6" s="3"/>
      <c r="Q6" s="53" t="s">
        <v>16</v>
      </c>
      <c r="R6" s="24">
        <f>C22+C28</f>
        <v>0</v>
      </c>
    </row>
    <row r="7" spans="1:18" s="5" customFormat="1" ht="15.75" thickBot="1" x14ac:dyDescent="0.3">
      <c r="A7" s="56"/>
      <c r="B7" s="22"/>
      <c r="C7" s="28"/>
      <c r="D7" s="28"/>
      <c r="E7" s="28"/>
      <c r="F7" s="26">
        <f>B7-(D7+L7)</f>
        <v>0</v>
      </c>
      <c r="G7" s="358"/>
      <c r="H7" s="449"/>
      <c r="I7" s="464"/>
      <c r="J7" s="37"/>
      <c r="K7" s="32">
        <f>SUM(I7+J7+H7+G7)-F7</f>
        <v>0</v>
      </c>
      <c r="L7" s="38"/>
      <c r="N7" s="4" t="s">
        <v>17</v>
      </c>
      <c r="O7" s="50">
        <f>O4+O5+O6</f>
        <v>0</v>
      </c>
      <c r="Q7" s="54" t="s">
        <v>18</v>
      </c>
      <c r="R7" s="36">
        <f>+C36+C42</f>
        <v>0</v>
      </c>
    </row>
    <row r="8" spans="1:18" s="5" customFormat="1" ht="15.75" thickBot="1" x14ac:dyDescent="0.3">
      <c r="A8" s="4" t="s">
        <v>19</v>
      </c>
      <c r="B8" s="30">
        <f>SUM(B5:B7)</f>
        <v>0</v>
      </c>
      <c r="C8" s="30">
        <f t="shared" ref="C8" si="0">SUM(C5:C7)</f>
        <v>0</v>
      </c>
      <c r="D8" s="30">
        <f t="shared" ref="D8:L8" si="1">SUM(D5:D7)</f>
        <v>0</v>
      </c>
      <c r="E8" s="30">
        <f t="shared" si="1"/>
        <v>0</v>
      </c>
      <c r="F8" s="30">
        <f t="shared" si="1"/>
        <v>0</v>
      </c>
      <c r="G8" s="30">
        <f t="shared" si="1"/>
        <v>0</v>
      </c>
      <c r="H8" s="450">
        <f t="shared" si="1"/>
        <v>0</v>
      </c>
      <c r="I8" s="465">
        <f t="shared" si="1"/>
        <v>0</v>
      </c>
      <c r="J8" s="48">
        <f t="shared" si="1"/>
        <v>0</v>
      </c>
      <c r="K8" s="32">
        <f>SUM(I8+J8+H8+G8)-F8</f>
        <v>0</v>
      </c>
      <c r="L8" s="30">
        <f t="shared" si="1"/>
        <v>0</v>
      </c>
      <c r="Q8" s="480" t="s">
        <v>20</v>
      </c>
      <c r="R8" s="455">
        <f>C57</f>
        <v>0</v>
      </c>
    </row>
    <row r="9" spans="1:18" s="5" customFormat="1" ht="15.75" thickBot="1" x14ac:dyDescent="0.3">
      <c r="A9" s="9"/>
      <c r="B9" s="60"/>
      <c r="C9" s="61"/>
      <c r="D9" s="61"/>
      <c r="E9" s="61"/>
      <c r="G9" s="8" t="s">
        <v>21</v>
      </c>
      <c r="J9" s="40">
        <f>SUM(I8+J8+H8+G8)-C8-E8</f>
        <v>0</v>
      </c>
      <c r="K9" s="462"/>
      <c r="L9" s="460"/>
      <c r="Q9" s="4" t="s">
        <v>17</v>
      </c>
      <c r="R9" s="468">
        <f>SUM(R4:R8)</f>
        <v>0</v>
      </c>
    </row>
    <row r="10" spans="1:18" s="5" customFormat="1" ht="15.75" thickBot="1" x14ac:dyDescent="0.3">
      <c r="K10" s="459"/>
      <c r="L10" s="459"/>
      <c r="M10" s="61"/>
      <c r="N10" s="9" t="s">
        <v>22</v>
      </c>
    </row>
    <row r="11" spans="1:18" s="5" customFormat="1" ht="15.75" thickBot="1" x14ac:dyDescent="0.3">
      <c r="A11" s="4" t="s">
        <v>23</v>
      </c>
      <c r="B11" s="6" t="s">
        <v>6</v>
      </c>
      <c r="C11" s="94" t="s">
        <v>4</v>
      </c>
      <c r="D11" s="94" t="s">
        <v>7</v>
      </c>
      <c r="E11" s="94" t="s">
        <v>8</v>
      </c>
      <c r="F11" s="6" t="s">
        <v>9</v>
      </c>
      <c r="G11" s="6" t="s">
        <v>10</v>
      </c>
      <c r="H11" s="447" t="s">
        <v>11</v>
      </c>
      <c r="I11" s="94" t="s">
        <v>12</v>
      </c>
      <c r="J11" s="6" t="s">
        <v>13</v>
      </c>
      <c r="K11" s="7" t="s">
        <v>14</v>
      </c>
      <c r="L11" s="6" t="s">
        <v>15</v>
      </c>
      <c r="N11" s="4" t="s">
        <v>24</v>
      </c>
      <c r="O11" s="58"/>
      <c r="Q11" s="14" t="s">
        <v>25</v>
      </c>
      <c r="R11" s="15"/>
    </row>
    <row r="12" spans="1:18" s="5" customFormat="1" ht="14.25" x14ac:dyDescent="0.2">
      <c r="A12" s="54"/>
      <c r="B12" s="31"/>
      <c r="C12" s="41"/>
      <c r="D12" s="41"/>
      <c r="E12" s="43"/>
      <c r="F12" s="42">
        <f>B12-(D12+L12)</f>
        <v>0</v>
      </c>
      <c r="G12" s="43"/>
      <c r="H12" s="448"/>
      <c r="I12" s="463"/>
      <c r="J12" s="31"/>
      <c r="K12" s="32">
        <f>SUM(I12+J12+H12+G12)-F12</f>
        <v>0</v>
      </c>
      <c r="L12" s="43"/>
      <c r="N12" s="11" t="s">
        <v>26</v>
      </c>
      <c r="O12" s="57"/>
      <c r="Q12" s="16" t="s">
        <v>27</v>
      </c>
      <c r="R12" s="246"/>
    </row>
    <row r="13" spans="1:18" s="5" customFormat="1" ht="14.25" x14ac:dyDescent="0.2">
      <c r="A13" s="54"/>
      <c r="B13" s="35"/>
      <c r="C13" s="44"/>
      <c r="D13" s="44"/>
      <c r="E13" s="46"/>
      <c r="F13" s="45">
        <f>B13-(D13+L13)</f>
        <v>0</v>
      </c>
      <c r="G13" s="46"/>
      <c r="H13" s="449"/>
      <c r="I13" s="464"/>
      <c r="J13" s="35"/>
      <c r="K13" s="24">
        <f>SUM(I13+J13+H13+G13)-F13</f>
        <v>0</v>
      </c>
      <c r="L13" s="46"/>
      <c r="N13" s="2" t="s">
        <v>28</v>
      </c>
      <c r="O13" s="46"/>
      <c r="Q13" s="17" t="s">
        <v>29</v>
      </c>
      <c r="R13" s="247"/>
    </row>
    <row r="14" spans="1:18" s="5" customFormat="1" ht="15" thickBot="1" x14ac:dyDescent="0.25">
      <c r="A14" s="54"/>
      <c r="B14" s="35"/>
      <c r="C14" s="44"/>
      <c r="D14" s="44"/>
      <c r="E14" s="46"/>
      <c r="F14" s="45">
        <f>B14-(D14+L14)</f>
        <v>0</v>
      </c>
      <c r="G14" s="46"/>
      <c r="H14" s="449"/>
      <c r="I14" s="464"/>
      <c r="J14" s="35"/>
      <c r="K14" s="24">
        <f>SUM(I14+J14+H14+G14)-F14</f>
        <v>0</v>
      </c>
      <c r="L14" s="46"/>
      <c r="N14" s="13" t="s">
        <v>30</v>
      </c>
      <c r="O14" s="38"/>
      <c r="Q14" s="2" t="s">
        <v>31</v>
      </c>
      <c r="R14" s="36">
        <f>R12-R13</f>
        <v>0</v>
      </c>
    </row>
    <row r="15" spans="1:18" s="5" customFormat="1" ht="15.75" thickBot="1" x14ac:dyDescent="0.3">
      <c r="A15" s="4" t="s">
        <v>19</v>
      </c>
      <c r="B15" s="47">
        <f t="shared" ref="B15:L15" si="2">SUM(B12:B14)</f>
        <v>0</v>
      </c>
      <c r="C15" s="30">
        <f t="shared" ref="C15" si="3">SUM(C12:C14)</f>
        <v>0</v>
      </c>
      <c r="D15" s="30">
        <f t="shared" si="2"/>
        <v>0</v>
      </c>
      <c r="E15" s="30">
        <f t="shared" si="2"/>
        <v>0</v>
      </c>
      <c r="F15" s="29">
        <f t="shared" si="2"/>
        <v>0</v>
      </c>
      <c r="G15" s="30">
        <f t="shared" si="2"/>
        <v>0</v>
      </c>
      <c r="H15" s="450">
        <f t="shared" si="2"/>
        <v>0</v>
      </c>
      <c r="I15" s="465">
        <f t="shared" si="2"/>
        <v>0</v>
      </c>
      <c r="J15" s="30">
        <f t="shared" si="2"/>
        <v>0</v>
      </c>
      <c r="K15" s="30">
        <f t="shared" si="2"/>
        <v>0</v>
      </c>
      <c r="L15" s="48">
        <f t="shared" si="2"/>
        <v>0</v>
      </c>
      <c r="N15" s="4" t="s">
        <v>17</v>
      </c>
      <c r="O15" s="39">
        <f>SUM(O12:O14)</f>
        <v>0</v>
      </c>
      <c r="Q15" s="17" t="s">
        <v>32</v>
      </c>
      <c r="R15" s="247"/>
    </row>
    <row r="16" spans="1:18" s="5" customFormat="1" ht="15.75" thickBot="1" x14ac:dyDescent="0.3">
      <c r="A16" s="9"/>
      <c r="B16" s="60"/>
      <c r="C16" s="61"/>
      <c r="D16" s="61"/>
      <c r="E16" s="61"/>
      <c r="G16" s="8" t="s">
        <v>33</v>
      </c>
      <c r="J16" s="40">
        <f>SUM(I15+J15+H15+G15)-C15-E15</f>
        <v>0</v>
      </c>
      <c r="K16" s="9"/>
      <c r="L16" s="3"/>
      <c r="N16" s="4" t="s">
        <v>34</v>
      </c>
      <c r="O16" s="59"/>
      <c r="Q16" s="17" t="s">
        <v>35</v>
      </c>
      <c r="R16" s="247"/>
    </row>
    <row r="17" spans="1:18" s="5" customFormat="1" ht="15" thickBot="1" x14ac:dyDescent="0.25">
      <c r="N17" s="11" t="s">
        <v>26</v>
      </c>
      <c r="O17" s="57"/>
      <c r="Q17" s="18" t="s">
        <v>36</v>
      </c>
      <c r="R17" s="248"/>
    </row>
    <row r="18" spans="1:18" s="5" customFormat="1" ht="15.75" thickBot="1" x14ac:dyDescent="0.3">
      <c r="A18" s="360" t="s">
        <v>37</v>
      </c>
      <c r="B18" s="6" t="s">
        <v>6</v>
      </c>
      <c r="C18" s="94" t="s">
        <v>4</v>
      </c>
      <c r="D18" s="94" t="s">
        <v>7</v>
      </c>
      <c r="E18" s="94" t="s">
        <v>8</v>
      </c>
      <c r="F18" s="6" t="s">
        <v>9</v>
      </c>
      <c r="G18" s="6" t="s">
        <v>10</v>
      </c>
      <c r="H18" s="447" t="s">
        <v>11</v>
      </c>
      <c r="I18" s="94" t="s">
        <v>12</v>
      </c>
      <c r="J18" s="6" t="s">
        <v>13</v>
      </c>
      <c r="K18" s="7" t="s">
        <v>14</v>
      </c>
      <c r="L18" s="6" t="s">
        <v>15</v>
      </c>
      <c r="M18" s="61"/>
      <c r="N18" s="2" t="s">
        <v>28</v>
      </c>
      <c r="O18" s="46"/>
      <c r="Q18" s="10" t="s">
        <v>38</v>
      </c>
      <c r="R18" s="27"/>
    </row>
    <row r="19" spans="1:18" s="5" customFormat="1" ht="15.75" thickBot="1" x14ac:dyDescent="0.3">
      <c r="A19" s="52"/>
      <c r="B19" s="31"/>
      <c r="C19" s="41"/>
      <c r="D19" s="41"/>
      <c r="E19" s="43"/>
      <c r="F19" s="42">
        <f>B19-(D19+L19)</f>
        <v>0</v>
      </c>
      <c r="G19" s="43"/>
      <c r="H19" s="448"/>
      <c r="I19" s="463"/>
      <c r="J19" s="31"/>
      <c r="K19" s="32">
        <f>SUM(I19+J19+H19+G19)-F19</f>
        <v>0</v>
      </c>
      <c r="L19" s="43"/>
      <c r="N19" s="13" t="s">
        <v>30</v>
      </c>
      <c r="O19" s="38"/>
      <c r="Q19" s="91" t="s">
        <v>39</v>
      </c>
      <c r="R19" s="249">
        <f>R12-R15-R17-R18</f>
        <v>0</v>
      </c>
    </row>
    <row r="20" spans="1:18" s="5" customFormat="1" ht="15.75" thickBot="1" x14ac:dyDescent="0.3">
      <c r="A20" s="54"/>
      <c r="B20" s="35"/>
      <c r="C20" s="44"/>
      <c r="D20" s="44"/>
      <c r="E20" s="46"/>
      <c r="F20" s="45">
        <f>B20-(D20+L20)</f>
        <v>0</v>
      </c>
      <c r="G20" s="46"/>
      <c r="H20" s="449"/>
      <c r="I20" s="464"/>
      <c r="J20" s="35"/>
      <c r="K20" s="24">
        <f>SUM(I20+J20+H20+G20)-F20</f>
        <v>0</v>
      </c>
      <c r="L20" s="46"/>
      <c r="N20" s="4" t="s">
        <v>17</v>
      </c>
      <c r="O20" s="39">
        <f>SUM(O17:O19)</f>
        <v>0</v>
      </c>
      <c r="Q20" s="19" t="s">
        <v>40</v>
      </c>
      <c r="R20" s="250"/>
    </row>
    <row r="21" spans="1:18" s="5" customFormat="1" ht="15" thickBot="1" x14ac:dyDescent="0.25">
      <c r="A21" s="332"/>
      <c r="B21" s="37"/>
      <c r="C21" s="27"/>
      <c r="D21" s="27"/>
      <c r="E21" s="334"/>
      <c r="F21" s="333">
        <f>B21-(D21+L21)</f>
        <v>0</v>
      </c>
      <c r="G21" s="334"/>
      <c r="H21" s="451"/>
      <c r="I21" s="466"/>
      <c r="J21" s="37"/>
      <c r="K21" s="335">
        <f>SUM(I21+J21+H21+G21)-F21</f>
        <v>0</v>
      </c>
      <c r="L21" s="334"/>
    </row>
    <row r="22" spans="1:18" s="5" customFormat="1" ht="15.75" thickBot="1" x14ac:dyDescent="0.3">
      <c r="A22" s="4" t="s">
        <v>19</v>
      </c>
      <c r="B22" s="47">
        <f>SUM(B19:B21)</f>
        <v>0</v>
      </c>
      <c r="C22" s="47">
        <f t="shared" ref="C22" si="4">SUM(C19:C21)</f>
        <v>0</v>
      </c>
      <c r="D22" s="47">
        <f t="shared" ref="D22:L22" si="5">SUM(D19:D21)</f>
        <v>0</v>
      </c>
      <c r="E22" s="47">
        <f t="shared" si="5"/>
        <v>0</v>
      </c>
      <c r="F22" s="47">
        <f t="shared" si="5"/>
        <v>0</v>
      </c>
      <c r="G22" s="47">
        <f t="shared" si="5"/>
        <v>0</v>
      </c>
      <c r="H22" s="452">
        <f t="shared" si="5"/>
        <v>0</v>
      </c>
      <c r="I22" s="467">
        <f t="shared" si="5"/>
        <v>0</v>
      </c>
      <c r="J22" s="47">
        <f t="shared" si="5"/>
        <v>0</v>
      </c>
      <c r="K22" s="47">
        <f t="shared" si="5"/>
        <v>0</v>
      </c>
      <c r="L22" s="30">
        <f t="shared" si="5"/>
        <v>0</v>
      </c>
      <c r="N22" s="9" t="s">
        <v>10</v>
      </c>
    </row>
    <row r="23" spans="1:18" s="5" customFormat="1" ht="15.75" thickBot="1" x14ac:dyDescent="0.3">
      <c r="A23" s="9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N23" s="62" t="str">
        <f>A11</f>
        <v>SPORTS BAR</v>
      </c>
      <c r="O23" s="63">
        <f>G15</f>
        <v>0</v>
      </c>
      <c r="Q23" s="9" t="s">
        <v>19</v>
      </c>
    </row>
    <row r="24" spans="1:18" s="5" customFormat="1" ht="15.75" thickBot="1" x14ac:dyDescent="0.3">
      <c r="A24" s="4" t="s">
        <v>41</v>
      </c>
      <c r="B24" s="6" t="s">
        <v>6</v>
      </c>
      <c r="C24" s="94" t="s">
        <v>4</v>
      </c>
      <c r="D24" s="94" t="s">
        <v>7</v>
      </c>
      <c r="E24" s="94" t="s">
        <v>8</v>
      </c>
      <c r="F24" s="6" t="s">
        <v>9</v>
      </c>
      <c r="G24" s="6" t="s">
        <v>10</v>
      </c>
      <c r="H24" s="447" t="s">
        <v>11</v>
      </c>
      <c r="I24" s="94" t="s">
        <v>12</v>
      </c>
      <c r="J24" s="6" t="s">
        <v>13</v>
      </c>
      <c r="K24" s="7" t="s">
        <v>14</v>
      </c>
      <c r="L24" s="6" t="s">
        <v>15</v>
      </c>
      <c r="N24" s="12" t="str">
        <f>A4</f>
        <v>BISTRO</v>
      </c>
      <c r="O24" s="51">
        <f>G8</f>
        <v>0</v>
      </c>
      <c r="Q24" s="458" t="s">
        <v>42</v>
      </c>
      <c r="R24" s="456">
        <f>SUM(J29,J51,O7,J43,J16,J9,R19,J58,R9)</f>
        <v>0</v>
      </c>
    </row>
    <row r="25" spans="1:18" s="5" customFormat="1" ht="14.25" x14ac:dyDescent="0.2">
      <c r="A25" s="54"/>
      <c r="B25" s="35"/>
      <c r="C25" s="44"/>
      <c r="D25" s="44"/>
      <c r="E25" s="46"/>
      <c r="F25" s="45">
        <f>B25-(D25+L25)</f>
        <v>0</v>
      </c>
      <c r="G25" s="46"/>
      <c r="H25" s="449"/>
      <c r="I25" s="464"/>
      <c r="J25" s="35"/>
      <c r="K25" s="24">
        <f>SUM(I25+J25+H25+G25)-F25</f>
        <v>0</v>
      </c>
      <c r="L25" s="46"/>
      <c r="N25" s="508" t="s">
        <v>43</v>
      </c>
      <c r="O25" s="509">
        <f>G50</f>
        <v>0</v>
      </c>
      <c r="Q25" s="2" t="s">
        <v>44</v>
      </c>
      <c r="R25" s="45">
        <f>ROUND(+R24/11,2)</f>
        <v>0</v>
      </c>
    </row>
    <row r="26" spans="1:18" s="5" customFormat="1" ht="14.25" x14ac:dyDescent="0.2">
      <c r="A26" s="54"/>
      <c r="B26" s="35"/>
      <c r="C26" s="44"/>
      <c r="D26" s="44"/>
      <c r="E26" s="46"/>
      <c r="F26" s="45">
        <f>B26-(D26+L26)</f>
        <v>0</v>
      </c>
      <c r="G26" s="46"/>
      <c r="H26" s="449"/>
      <c r="I26" s="464"/>
      <c r="J26" s="35"/>
      <c r="K26" s="24">
        <f>SUM(I26+J26+H26+G26)-F26</f>
        <v>0</v>
      </c>
      <c r="L26" s="46"/>
      <c r="M26" s="61"/>
      <c r="N26" s="12" t="s">
        <v>37</v>
      </c>
      <c r="O26" s="51">
        <f>G22</f>
        <v>0</v>
      </c>
      <c r="Q26" s="2" t="s">
        <v>45</v>
      </c>
      <c r="R26" s="46">
        <f>R39</f>
        <v>0</v>
      </c>
    </row>
    <row r="27" spans="1:18" s="5" customFormat="1" ht="15" thickBot="1" x14ac:dyDescent="0.25">
      <c r="A27" s="54"/>
      <c r="B27" s="35"/>
      <c r="C27" s="44"/>
      <c r="D27" s="44"/>
      <c r="E27" s="46"/>
      <c r="F27" s="45">
        <f>B27-(D27+L27)</f>
        <v>0</v>
      </c>
      <c r="G27" s="46"/>
      <c r="H27" s="449"/>
      <c r="I27" s="464"/>
      <c r="J27" s="35"/>
      <c r="K27" s="24">
        <f>SUM(I27+J27+H27+G27)-F27</f>
        <v>0</v>
      </c>
      <c r="L27" s="46"/>
      <c r="N27" s="12" t="s">
        <v>46</v>
      </c>
      <c r="O27" s="51">
        <f>G28</f>
        <v>0</v>
      </c>
      <c r="Q27" s="13" t="s">
        <v>12</v>
      </c>
      <c r="R27" s="46">
        <f>I57+I42+I36+I28+I22+I15+I8</f>
        <v>0</v>
      </c>
    </row>
    <row r="28" spans="1:18" s="5" customFormat="1" ht="15.75" thickBot="1" x14ac:dyDescent="0.3">
      <c r="A28" s="4" t="s">
        <v>19</v>
      </c>
      <c r="B28" s="47">
        <f>SUM(B25:B27)</f>
        <v>0</v>
      </c>
      <c r="C28" s="47">
        <f t="shared" ref="C28" si="6">SUM(C25:C27)</f>
        <v>0</v>
      </c>
      <c r="D28" s="47">
        <f t="shared" ref="D28:L28" si="7">SUM(D25:D27)</f>
        <v>0</v>
      </c>
      <c r="E28" s="47">
        <f t="shared" si="7"/>
        <v>0</v>
      </c>
      <c r="F28" s="47">
        <f t="shared" si="7"/>
        <v>0</v>
      </c>
      <c r="G28" s="47">
        <f t="shared" si="7"/>
        <v>0</v>
      </c>
      <c r="H28" s="452">
        <f t="shared" si="7"/>
        <v>0</v>
      </c>
      <c r="I28" s="467">
        <f t="shared" si="7"/>
        <v>0</v>
      </c>
      <c r="J28" s="47">
        <f t="shared" si="7"/>
        <v>0</v>
      </c>
      <c r="K28" s="47">
        <f t="shared" si="7"/>
        <v>0</v>
      </c>
      <c r="L28" s="30">
        <f t="shared" si="7"/>
        <v>0</v>
      </c>
      <c r="N28" s="12" t="s">
        <v>47</v>
      </c>
      <c r="O28" s="51">
        <f>G36</f>
        <v>0</v>
      </c>
      <c r="Q28" s="10" t="s">
        <v>10</v>
      </c>
      <c r="R28" s="45">
        <f>O31</f>
        <v>0</v>
      </c>
    </row>
    <row r="29" spans="1:18" s="5" customFormat="1" ht="15.75" thickBot="1" x14ac:dyDescent="0.3">
      <c r="A29" s="9"/>
      <c r="B29" s="60"/>
      <c r="C29" s="61"/>
      <c r="D29" s="61"/>
      <c r="E29" s="61"/>
      <c r="G29" s="8" t="s">
        <v>48</v>
      </c>
      <c r="J29" s="40">
        <f>SUM(G22+H22+I22+J22)+(I28+J28+H28+G28)-C28-E28-C22-E22</f>
        <v>0</v>
      </c>
      <c r="K29" s="9"/>
      <c r="L29" s="3"/>
      <c r="N29" s="12" t="s">
        <v>49</v>
      </c>
      <c r="O29" s="51">
        <f>G42</f>
        <v>0</v>
      </c>
      <c r="Q29" s="457" t="s">
        <v>50</v>
      </c>
      <c r="R29" s="440">
        <f>R24-(R28+R26+R27)</f>
        <v>0</v>
      </c>
    </row>
    <row r="30" spans="1:18" s="5" customFormat="1" ht="15.75" thickBot="1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N30" s="510" t="s">
        <v>5</v>
      </c>
      <c r="O30" s="511">
        <f>G57</f>
        <v>0</v>
      </c>
    </row>
    <row r="31" spans="1:18" s="5" customFormat="1" ht="15.75" thickBot="1" x14ac:dyDescent="0.3">
      <c r="A31" s="9" t="s">
        <v>51</v>
      </c>
      <c r="N31" s="363" t="s">
        <v>17</v>
      </c>
      <c r="O31" s="30">
        <f>SUM(O23:O30)</f>
        <v>0</v>
      </c>
      <c r="Q31" s="4" t="s">
        <v>52</v>
      </c>
      <c r="R31" s="48">
        <f>J8+J15+J22+J28+J36+J42+J50+J57</f>
        <v>0</v>
      </c>
    </row>
    <row r="32" spans="1:18" s="5" customFormat="1" ht="15.75" thickBot="1" x14ac:dyDescent="0.3">
      <c r="A32" s="4" t="s">
        <v>47</v>
      </c>
      <c r="B32" s="6" t="s">
        <v>6</v>
      </c>
      <c r="C32" s="94" t="s">
        <v>4</v>
      </c>
      <c r="D32" s="94" t="s">
        <v>7</v>
      </c>
      <c r="E32" s="94" t="s">
        <v>8</v>
      </c>
      <c r="F32" s="6" t="s">
        <v>9</v>
      </c>
      <c r="G32" s="6" t="s">
        <v>10</v>
      </c>
      <c r="H32" s="447" t="s">
        <v>11</v>
      </c>
      <c r="I32" s="94" t="s">
        <v>12</v>
      </c>
      <c r="J32" s="6" t="s">
        <v>13</v>
      </c>
      <c r="K32" s="336" t="s">
        <v>14</v>
      </c>
      <c r="L32" s="6" t="s">
        <v>15</v>
      </c>
    </row>
    <row r="33" spans="1:18" s="5" customFormat="1" ht="15.75" thickBot="1" x14ac:dyDescent="0.3">
      <c r="A33" s="54"/>
      <c r="B33" s="35"/>
      <c r="C33" s="44"/>
      <c r="D33" s="44"/>
      <c r="E33" s="46"/>
      <c r="F33" s="45">
        <f>B33-(D33+L33)</f>
        <v>0</v>
      </c>
      <c r="G33" s="46"/>
      <c r="H33" s="449"/>
      <c r="I33" s="464"/>
      <c r="J33" s="35"/>
      <c r="K33" s="32">
        <f>SUM(I33+J33+H33+G33)-F33</f>
        <v>0</v>
      </c>
      <c r="L33" s="46"/>
      <c r="Q33" s="4" t="s">
        <v>53</v>
      </c>
      <c r="R33" s="420"/>
    </row>
    <row r="34" spans="1:18" s="5" customFormat="1" ht="14.25" x14ac:dyDescent="0.2">
      <c r="A34" s="54"/>
      <c r="B34" s="35"/>
      <c r="C34" s="44"/>
      <c r="D34" s="44"/>
      <c r="E34" s="46"/>
      <c r="F34" s="45">
        <f>B34-(D34+L34)</f>
        <v>0</v>
      </c>
      <c r="G34" s="46"/>
      <c r="H34" s="449"/>
      <c r="I34" s="464"/>
      <c r="J34" s="35"/>
      <c r="K34" s="36">
        <f>SUM(I34+J34+H34+G34)-F34</f>
        <v>0</v>
      </c>
      <c r="L34" s="46"/>
    </row>
    <row r="35" spans="1:18" s="5" customFormat="1" ht="15" thickBot="1" x14ac:dyDescent="0.25">
      <c r="A35" s="54"/>
      <c r="B35" s="35"/>
      <c r="C35" s="44"/>
      <c r="D35" s="44"/>
      <c r="E35" s="46"/>
      <c r="F35" s="45">
        <f>B35-(D35+L35)</f>
        <v>0</v>
      </c>
      <c r="G35" s="46"/>
      <c r="H35" s="449"/>
      <c r="I35" s="464"/>
      <c r="J35" s="35"/>
      <c r="K35" s="338">
        <f>SUM(I35+J35+H35+G35)-F35</f>
        <v>0</v>
      </c>
      <c r="L35" s="46"/>
      <c r="M35" s="61"/>
    </row>
    <row r="36" spans="1:18" s="5" customFormat="1" ht="15.75" thickBot="1" x14ac:dyDescent="0.3">
      <c r="A36" s="4" t="s">
        <v>19</v>
      </c>
      <c r="B36" s="47">
        <f>SUM(B33:B35)</f>
        <v>0</v>
      </c>
      <c r="C36" s="47">
        <f t="shared" ref="C36" si="8">SUM(C33:C35)</f>
        <v>0</v>
      </c>
      <c r="D36" s="47">
        <f t="shared" ref="D36:L36" si="9">SUM(D33:D35)</f>
        <v>0</v>
      </c>
      <c r="E36" s="47">
        <f t="shared" si="9"/>
        <v>0</v>
      </c>
      <c r="F36" s="47">
        <f t="shared" si="9"/>
        <v>0</v>
      </c>
      <c r="G36" s="47">
        <f t="shared" si="9"/>
        <v>0</v>
      </c>
      <c r="H36" s="452">
        <f t="shared" si="9"/>
        <v>0</v>
      </c>
      <c r="I36" s="467">
        <f t="shared" si="9"/>
        <v>0</v>
      </c>
      <c r="J36" s="47">
        <f t="shared" si="9"/>
        <v>0</v>
      </c>
      <c r="K36" s="337">
        <f t="shared" si="9"/>
        <v>0</v>
      </c>
      <c r="L36" s="30">
        <f t="shared" si="9"/>
        <v>0</v>
      </c>
      <c r="Q36" s="743" t="s">
        <v>54</v>
      </c>
      <c r="R36" s="744"/>
    </row>
    <row r="37" spans="1:18" s="5" customFormat="1" ht="15" thickBot="1" x14ac:dyDescent="0.25">
      <c r="A37" s="3"/>
      <c r="B37" s="331"/>
      <c r="C37" s="331"/>
      <c r="D37" s="331"/>
      <c r="E37" s="331"/>
      <c r="F37" s="61"/>
      <c r="G37" s="331"/>
      <c r="H37" s="331"/>
      <c r="I37" s="331"/>
      <c r="J37" s="331"/>
      <c r="K37" s="61"/>
      <c r="L37" s="331"/>
      <c r="Q37" s="512" t="s">
        <v>55</v>
      </c>
      <c r="R37" s="506"/>
    </row>
    <row r="38" spans="1:18" s="5" customFormat="1" ht="15.75" thickBot="1" x14ac:dyDescent="0.3">
      <c r="A38" s="4" t="s">
        <v>49</v>
      </c>
      <c r="B38" s="6" t="s">
        <v>6</v>
      </c>
      <c r="C38" s="94" t="s">
        <v>4</v>
      </c>
      <c r="D38" s="94" t="s">
        <v>7</v>
      </c>
      <c r="E38" s="94" t="s">
        <v>8</v>
      </c>
      <c r="F38" s="6" t="s">
        <v>9</v>
      </c>
      <c r="G38" s="6" t="s">
        <v>10</v>
      </c>
      <c r="H38" s="447" t="s">
        <v>11</v>
      </c>
      <c r="I38" s="94" t="s">
        <v>12</v>
      </c>
      <c r="J38" s="6" t="s">
        <v>13</v>
      </c>
      <c r="K38" s="7" t="s">
        <v>14</v>
      </c>
      <c r="L38" s="6" t="s">
        <v>15</v>
      </c>
      <c r="Q38" s="513" t="s">
        <v>56</v>
      </c>
      <c r="R38" s="507"/>
    </row>
    <row r="39" spans="1:18" s="5" customFormat="1" ht="15.75" thickBot="1" x14ac:dyDescent="0.3">
      <c r="A39" s="54"/>
      <c r="B39" s="35"/>
      <c r="C39" s="44"/>
      <c r="D39" s="44"/>
      <c r="E39" s="46"/>
      <c r="F39" s="45">
        <f>B39-(D39+L39)</f>
        <v>0</v>
      </c>
      <c r="G39" s="46"/>
      <c r="H39" s="449"/>
      <c r="I39" s="464"/>
      <c r="J39" s="35"/>
      <c r="K39" s="24">
        <f>SUM(I39+J39+H39+G39)-F39</f>
        <v>0</v>
      </c>
      <c r="L39" s="46"/>
      <c r="Q39" s="6" t="s">
        <v>17</v>
      </c>
      <c r="R39" s="505">
        <f>SUM(R37:R38)</f>
        <v>0</v>
      </c>
    </row>
    <row r="40" spans="1:18" s="5" customFormat="1" ht="14.25" x14ac:dyDescent="0.2">
      <c r="A40" s="54"/>
      <c r="B40" s="35"/>
      <c r="C40" s="44"/>
      <c r="D40" s="44"/>
      <c r="E40" s="46"/>
      <c r="F40" s="45">
        <f>B40-(D40+L40)</f>
        <v>0</v>
      </c>
      <c r="G40" s="46"/>
      <c r="H40" s="449"/>
      <c r="I40" s="464"/>
      <c r="J40" s="35"/>
      <c r="K40" s="24">
        <f>SUM(I40+J40+H40+G40)-F40</f>
        <v>0</v>
      </c>
      <c r="L40" s="46"/>
    </row>
    <row r="41" spans="1:18" s="5" customFormat="1" ht="15" thickBot="1" x14ac:dyDescent="0.25">
      <c r="A41" s="54"/>
      <c r="B41" s="35"/>
      <c r="C41" s="44"/>
      <c r="D41" s="44"/>
      <c r="E41" s="46"/>
      <c r="F41" s="45">
        <f>B41-(D41+L41)</f>
        <v>0</v>
      </c>
      <c r="G41" s="46"/>
      <c r="H41" s="449"/>
      <c r="I41" s="464"/>
      <c r="J41" s="35"/>
      <c r="K41" s="24">
        <f>SUM(I41+J41+H41+G41)-F41</f>
        <v>0</v>
      </c>
      <c r="L41" s="46"/>
    </row>
    <row r="42" spans="1:18" s="5" customFormat="1" ht="15.75" thickBot="1" x14ac:dyDescent="0.3">
      <c r="A42" s="4" t="s">
        <v>19</v>
      </c>
      <c r="B42" s="47">
        <f>SUM(B39:B41)</f>
        <v>0</v>
      </c>
      <c r="C42" s="47">
        <f t="shared" ref="C42" si="10">SUM(C39:C41)</f>
        <v>0</v>
      </c>
      <c r="D42" s="47">
        <f t="shared" ref="D42:L42" si="11">SUM(D39:D41)</f>
        <v>0</v>
      </c>
      <c r="E42" s="47">
        <f t="shared" si="11"/>
        <v>0</v>
      </c>
      <c r="F42" s="47">
        <f t="shared" si="11"/>
        <v>0</v>
      </c>
      <c r="G42" s="47">
        <f t="shared" si="11"/>
        <v>0</v>
      </c>
      <c r="H42" s="452">
        <f t="shared" si="11"/>
        <v>0</v>
      </c>
      <c r="I42" s="467">
        <f t="shared" si="11"/>
        <v>0</v>
      </c>
      <c r="J42" s="47">
        <f t="shared" si="11"/>
        <v>0</v>
      </c>
      <c r="K42" s="47">
        <f t="shared" si="11"/>
        <v>0</v>
      </c>
      <c r="L42" s="30">
        <f t="shared" si="11"/>
        <v>0</v>
      </c>
    </row>
    <row r="43" spans="1:18" s="5" customFormat="1" ht="15.75" thickBot="1" x14ac:dyDescent="0.3">
      <c r="A43" s="9"/>
      <c r="B43" s="60"/>
      <c r="C43" s="61"/>
      <c r="D43" s="61"/>
      <c r="E43" s="61"/>
      <c r="G43" s="8" t="s">
        <v>57</v>
      </c>
      <c r="J43" s="40">
        <f>SUM(G36+H36+I36+J36)+(I42+J42+H42+G42)-C36-C42-E36-E42</f>
        <v>0</v>
      </c>
      <c r="K43" s="9"/>
      <c r="L43" s="3"/>
      <c r="M43" s="61"/>
    </row>
    <row r="44" spans="1:18" s="5" customFormat="1" ht="14.25" x14ac:dyDescent="0.2"/>
    <row r="45" spans="1:18" s="5" customFormat="1" ht="15.75" hidden="1" thickBot="1" x14ac:dyDescent="0.3">
      <c r="A45" s="478" t="s">
        <v>58</v>
      </c>
      <c r="B45" s="447" t="s">
        <v>6</v>
      </c>
      <c r="C45" s="454" t="s">
        <v>7</v>
      </c>
      <c r="D45" s="473" t="s">
        <v>7</v>
      </c>
      <c r="E45" s="473" t="s">
        <v>8</v>
      </c>
      <c r="F45" s="447" t="s">
        <v>9</v>
      </c>
      <c r="G45" s="447" t="s">
        <v>10</v>
      </c>
      <c r="H45" s="447" t="s">
        <v>11</v>
      </c>
      <c r="I45" s="473" t="s">
        <v>12</v>
      </c>
      <c r="J45" s="447" t="s">
        <v>13</v>
      </c>
      <c r="K45" s="479" t="s">
        <v>14</v>
      </c>
      <c r="L45" s="447" t="s">
        <v>15</v>
      </c>
    </row>
    <row r="46" spans="1:18" s="5" customFormat="1" ht="14.25" hidden="1" x14ac:dyDescent="0.2">
      <c r="A46" s="480"/>
      <c r="B46" s="481"/>
      <c r="C46" s="455"/>
      <c r="D46" s="482"/>
      <c r="E46" s="483"/>
      <c r="F46" s="449">
        <f>B46-(D46+L46)</f>
        <v>0</v>
      </c>
      <c r="G46" s="483"/>
      <c r="H46" s="449"/>
      <c r="I46" s="474"/>
      <c r="J46" s="481"/>
      <c r="K46" s="484">
        <f>SUM(I46+J46+H46+G46)-F46</f>
        <v>0</v>
      </c>
      <c r="L46" s="483"/>
    </row>
    <row r="47" spans="1:18" s="5" customFormat="1" ht="14.25" hidden="1" x14ac:dyDescent="0.2">
      <c r="A47" s="480"/>
      <c r="B47" s="481"/>
      <c r="C47" s="455"/>
      <c r="D47" s="482"/>
      <c r="E47" s="483"/>
      <c r="F47" s="449">
        <f>B47-(D47+L47)</f>
        <v>0</v>
      </c>
      <c r="G47" s="483"/>
      <c r="H47" s="449"/>
      <c r="I47" s="474"/>
      <c r="J47" s="481"/>
      <c r="K47" s="485">
        <f>SUM(I47+J47+H47+G47)-F47</f>
        <v>0</v>
      </c>
      <c r="L47" s="483"/>
    </row>
    <row r="48" spans="1:18" s="5" customFormat="1" ht="14.25" hidden="1" x14ac:dyDescent="0.2">
      <c r="A48" s="480"/>
      <c r="B48" s="481"/>
      <c r="C48" s="455"/>
      <c r="D48" s="482"/>
      <c r="E48" s="483"/>
      <c r="F48" s="449">
        <f>B48-(D48+L48)</f>
        <v>0</v>
      </c>
      <c r="G48" s="483"/>
      <c r="H48" s="449"/>
      <c r="I48" s="474"/>
      <c r="J48" s="481"/>
      <c r="K48" s="485">
        <f>SUM(I48+J48+H48+G48)-F48</f>
        <v>0</v>
      </c>
      <c r="L48" s="483"/>
    </row>
    <row r="49" spans="1:12" s="5" customFormat="1" ht="15" hidden="1" thickBot="1" x14ac:dyDescent="0.25">
      <c r="A49" s="480"/>
      <c r="B49" s="481"/>
      <c r="C49" s="455"/>
      <c r="D49" s="482"/>
      <c r="E49" s="483"/>
      <c r="F49" s="449">
        <f>B49-(D49+L49)</f>
        <v>0</v>
      </c>
      <c r="G49" s="483"/>
      <c r="H49" s="449"/>
      <c r="I49" s="474"/>
      <c r="J49" s="481"/>
      <c r="K49" s="485">
        <f>SUM(I49+J49+H49+G49)-F49</f>
        <v>0</v>
      </c>
      <c r="L49" s="483"/>
    </row>
    <row r="50" spans="1:12" s="5" customFormat="1" ht="15.75" hidden="1" thickBot="1" x14ac:dyDescent="0.3">
      <c r="A50" s="478" t="s">
        <v>19</v>
      </c>
      <c r="B50" s="452">
        <f t="shared" ref="B50:L50" si="12">SUM(B46:B49)</f>
        <v>0</v>
      </c>
      <c r="C50" s="450">
        <f t="shared" ref="C50" si="13">SUM(C46:C49)</f>
        <v>0</v>
      </c>
      <c r="D50" s="450">
        <f t="shared" si="12"/>
        <v>0</v>
      </c>
      <c r="E50" s="450">
        <f t="shared" si="12"/>
        <v>0</v>
      </c>
      <c r="F50" s="453">
        <f t="shared" si="12"/>
        <v>0</v>
      </c>
      <c r="G50" s="450">
        <f t="shared" si="12"/>
        <v>0</v>
      </c>
      <c r="H50" s="453">
        <f t="shared" si="12"/>
        <v>0</v>
      </c>
      <c r="I50" s="450">
        <f>SUM(I46:I49)</f>
        <v>0</v>
      </c>
      <c r="J50" s="450">
        <f t="shared" si="12"/>
        <v>0</v>
      </c>
      <c r="K50" s="450">
        <f t="shared" si="12"/>
        <v>0</v>
      </c>
      <c r="L50" s="59">
        <f t="shared" si="12"/>
        <v>0</v>
      </c>
    </row>
    <row r="51" spans="1:12" s="5" customFormat="1" ht="15.75" hidden="1" thickBot="1" x14ac:dyDescent="0.3">
      <c r="A51" s="486"/>
      <c r="B51" s="487"/>
      <c r="C51" s="488"/>
      <c r="D51" s="488"/>
      <c r="E51" s="488"/>
      <c r="F51" s="489"/>
      <c r="G51" s="490" t="s">
        <v>59</v>
      </c>
      <c r="H51" s="489"/>
      <c r="I51" s="489"/>
      <c r="J51" s="491">
        <f>SUM(I50+J50+H50+G50)-E50</f>
        <v>0</v>
      </c>
      <c r="K51" s="486"/>
      <c r="L51" s="492"/>
    </row>
    <row r="52" spans="1:12" s="5" customFormat="1" ht="15" hidden="1" thickBot="1" x14ac:dyDescent="0.25">
      <c r="A52" s="489"/>
      <c r="B52" s="489"/>
      <c r="C52" s="489"/>
      <c r="D52" s="489"/>
      <c r="E52" s="489"/>
      <c r="F52" s="489"/>
      <c r="G52" s="489"/>
      <c r="H52" s="489"/>
      <c r="I52" s="489"/>
      <c r="J52" s="489"/>
      <c r="K52" s="489"/>
      <c r="L52" s="489"/>
    </row>
    <row r="53" spans="1:12" s="5" customFormat="1" ht="15.75" hidden="1" thickBot="1" x14ac:dyDescent="0.3">
      <c r="A53" s="478" t="s">
        <v>20</v>
      </c>
      <c r="B53" s="447" t="s">
        <v>6</v>
      </c>
      <c r="C53" s="473" t="s">
        <v>4</v>
      </c>
      <c r="D53" s="473" t="s">
        <v>7</v>
      </c>
      <c r="E53" s="473" t="s">
        <v>8</v>
      </c>
      <c r="F53" s="447" t="s">
        <v>9</v>
      </c>
      <c r="G53" s="447" t="s">
        <v>10</v>
      </c>
      <c r="H53" s="447" t="s">
        <v>11</v>
      </c>
      <c r="I53" s="473" t="s">
        <v>12</v>
      </c>
      <c r="J53" s="447" t="s">
        <v>13</v>
      </c>
      <c r="K53" s="479" t="s">
        <v>14</v>
      </c>
      <c r="L53" s="447" t="s">
        <v>15</v>
      </c>
    </row>
    <row r="54" spans="1:12" s="5" customFormat="1" ht="14.25" hidden="1" x14ac:dyDescent="0.2">
      <c r="A54" s="480"/>
      <c r="B54" s="481"/>
      <c r="C54" s="482"/>
      <c r="D54" s="482"/>
      <c r="E54" s="483"/>
      <c r="F54" s="449">
        <f>B54-(D54+L54)</f>
        <v>0</v>
      </c>
      <c r="G54" s="483"/>
      <c r="H54" s="449"/>
      <c r="I54" s="474"/>
      <c r="J54" s="481"/>
      <c r="K54" s="485">
        <f>SUM(I54+J54+H54+G54)-F54</f>
        <v>0</v>
      </c>
      <c r="L54" s="483"/>
    </row>
    <row r="55" spans="1:12" s="5" customFormat="1" ht="14.25" hidden="1" x14ac:dyDescent="0.2">
      <c r="A55" s="480"/>
      <c r="B55" s="481"/>
      <c r="C55" s="482"/>
      <c r="D55" s="482"/>
      <c r="E55" s="483"/>
      <c r="F55" s="449">
        <f>B55-(D55+L55)</f>
        <v>0</v>
      </c>
      <c r="G55" s="483"/>
      <c r="H55" s="449"/>
      <c r="I55" s="474"/>
      <c r="J55" s="481"/>
      <c r="K55" s="485">
        <f>SUM(I55+J55+H55+G55)-F55</f>
        <v>0</v>
      </c>
      <c r="L55" s="483"/>
    </row>
    <row r="56" spans="1:12" ht="15" hidden="1" thickBot="1" x14ac:dyDescent="0.25">
      <c r="A56" s="480"/>
      <c r="B56" s="481"/>
      <c r="C56" s="482"/>
      <c r="D56" s="482"/>
      <c r="E56" s="483"/>
      <c r="F56" s="449">
        <f>B56-(D56+L56)</f>
        <v>0</v>
      </c>
      <c r="G56" s="483"/>
      <c r="H56" s="449"/>
      <c r="I56" s="474"/>
      <c r="J56" s="481"/>
      <c r="K56" s="485">
        <f>SUM(I56+J56+H56+G56)-F56</f>
        <v>0</v>
      </c>
      <c r="L56" s="483"/>
    </row>
    <row r="57" spans="1:12" ht="15.75" hidden="1" thickBot="1" x14ac:dyDescent="0.3">
      <c r="A57" s="478" t="s">
        <v>19</v>
      </c>
      <c r="B57" s="452">
        <f>SUM(B54:B56)</f>
        <v>0</v>
      </c>
      <c r="C57" s="452">
        <f t="shared" ref="C57:L57" si="14">SUM(C54:C56)</f>
        <v>0</v>
      </c>
      <c r="D57" s="452">
        <f t="shared" si="14"/>
        <v>0</v>
      </c>
      <c r="E57" s="452">
        <f>SUM(E54:E56)</f>
        <v>0</v>
      </c>
      <c r="F57" s="452">
        <f t="shared" si="14"/>
        <v>0</v>
      </c>
      <c r="G57" s="452">
        <f t="shared" si="14"/>
        <v>0</v>
      </c>
      <c r="H57" s="452">
        <f t="shared" si="14"/>
        <v>0</v>
      </c>
      <c r="I57" s="452">
        <f t="shared" si="14"/>
        <v>0</v>
      </c>
      <c r="J57" s="452">
        <f t="shared" si="14"/>
        <v>0</v>
      </c>
      <c r="K57" s="452">
        <f t="shared" si="14"/>
        <v>0</v>
      </c>
      <c r="L57" s="450">
        <f t="shared" si="14"/>
        <v>0</v>
      </c>
    </row>
    <row r="58" spans="1:12" ht="15.75" hidden="1" thickBot="1" x14ac:dyDescent="0.3">
      <c r="A58" s="486"/>
      <c r="B58" s="487"/>
      <c r="C58" s="488"/>
      <c r="D58" s="488"/>
      <c r="E58" s="488"/>
      <c r="F58" s="489"/>
      <c r="G58" s="490" t="s">
        <v>60</v>
      </c>
      <c r="H58" s="489"/>
      <c r="I58" s="493"/>
      <c r="J58" s="491">
        <f>SUM(I57+J57+H57+G57)-C57-E57</f>
        <v>0</v>
      </c>
      <c r="K58" s="486"/>
      <c r="L58" s="492"/>
    </row>
    <row r="59" spans="1:12" ht="14.25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14.25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14.25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14.25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14.25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</sheetData>
  <sheetProtection algorithmName="SHA-512" hashValue="eEIQd4Q/WkKiSfEy6+sIqufBpCrA7DS3A5FH+hZ3N6mBHGsDsc23gQl5a0uODEds1Nx+/woWCQIpSHzkCsa2uA==" saltValue="0NPDlAPUnTCI/bSd1c2sPA==" spinCount="100000" sheet="1" objects="1" scenarios="1"/>
  <mergeCells count="3">
    <mergeCell ref="A1:L1"/>
    <mergeCell ref="A2:L2"/>
    <mergeCell ref="Q36:R36"/>
  </mergeCells>
  <phoneticPr fontId="39" type="noConversion"/>
  <printOptions horizontalCentered="1" verticalCentered="1"/>
  <pageMargins left="0.74803149606299213" right="0.74803149606299213" top="0.15748031496062992" bottom="0.15748031496062992" header="0.15748031496062992" footer="0.15748031496062992"/>
  <pageSetup paperSize="9" scale="61" orientation="landscape" r:id="rId1"/>
  <headerFooter alignWithMargins="0"/>
  <colBreaks count="1" manualBreakCount="1">
    <brk id="12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Button 1">
              <controlPr defaultSize="0" print="0" autoFill="0" autoPict="0">
                <anchor moveWithCells="1" sizeWithCells="1">
                  <from>
                    <xdr:col>14</xdr:col>
                    <xdr:colOff>0</xdr:colOff>
                    <xdr:row>42</xdr:row>
                    <xdr:rowOff>0</xdr:rowOff>
                  </from>
                  <to>
                    <xdr:col>14</xdr:col>
                    <xdr:colOff>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Button 2">
              <controlPr defaultSize="0" print="0" autoFill="0" autoPict="0">
                <anchor moveWithCells="1" sizeWithCells="1">
                  <from>
                    <xdr:col>14</xdr:col>
                    <xdr:colOff>0</xdr:colOff>
                    <xdr:row>42</xdr:row>
                    <xdr:rowOff>0</xdr:rowOff>
                  </from>
                  <to>
                    <xdr:col>14</xdr:col>
                    <xdr:colOff>0</xdr:colOff>
                    <xdr:row>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Button 3">
              <controlPr defaultSize="0" print="0" autoFill="0" autoPict="0">
                <anchor moveWithCells="1" sizeWithCells="1">
                  <from>
                    <xdr:col>13</xdr:col>
                    <xdr:colOff>0</xdr:colOff>
                    <xdr:row>40</xdr:row>
                    <xdr:rowOff>0</xdr:rowOff>
                  </from>
                  <to>
                    <xdr:col>13</xdr:col>
                    <xdr:colOff>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7" name="Button 4">
              <controlPr defaultSize="0" print="0" autoFill="0" autoPict="0">
                <anchor moveWithCells="1" sizeWithCells="1">
                  <from>
                    <xdr:col>13</xdr:col>
                    <xdr:colOff>0</xdr:colOff>
                    <xdr:row>40</xdr:row>
                    <xdr:rowOff>0</xdr:rowOff>
                  </from>
                  <to>
                    <xdr:col>13</xdr:col>
                    <xdr:colOff>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8" name="Button 5">
              <controlPr defaultSize="0" print="0" autoFill="0" autoPict="0">
                <anchor moveWithCells="1" sizeWithCells="1">
                  <from>
                    <xdr:col>14</xdr:col>
                    <xdr:colOff>0</xdr:colOff>
                    <xdr:row>42</xdr:row>
                    <xdr:rowOff>0</xdr:rowOff>
                  </from>
                  <to>
                    <xdr:col>14</xdr:col>
                    <xdr:colOff>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9" name="Button 6">
              <controlPr defaultSize="0" print="0" autoFill="0" autoPict="0">
                <anchor moveWithCells="1" sizeWithCells="1">
                  <from>
                    <xdr:col>14</xdr:col>
                    <xdr:colOff>0</xdr:colOff>
                    <xdr:row>42</xdr:row>
                    <xdr:rowOff>0</xdr:rowOff>
                  </from>
                  <to>
                    <xdr:col>14</xdr:col>
                    <xdr:colOff>0</xdr:colOff>
                    <xdr:row>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10" name="Button 7">
              <controlPr defaultSize="0" print="0" autoFill="0" autoPict="0">
                <anchor moveWithCells="1" sizeWithCells="1">
                  <from>
                    <xdr:col>13</xdr:col>
                    <xdr:colOff>0</xdr:colOff>
                    <xdr:row>40</xdr:row>
                    <xdr:rowOff>0</xdr:rowOff>
                  </from>
                  <to>
                    <xdr:col>13</xdr:col>
                    <xdr:colOff>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11" name="Button 8">
              <controlPr defaultSize="0" print="0" autoFill="0" autoPict="0">
                <anchor moveWithCells="1" sizeWithCells="1">
                  <from>
                    <xdr:col>13</xdr:col>
                    <xdr:colOff>0</xdr:colOff>
                    <xdr:row>40</xdr:row>
                    <xdr:rowOff>0</xdr:rowOff>
                  </from>
                  <to>
                    <xdr:col>13</xdr:col>
                    <xdr:colOff>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12" name="Button 9">
              <controlPr defaultSize="0" print="0" autoFill="0" autoPict="0">
                <anchor moveWithCells="1" sizeWithCells="1">
                  <from>
                    <xdr:col>14</xdr:col>
                    <xdr:colOff>0</xdr:colOff>
                    <xdr:row>35</xdr:row>
                    <xdr:rowOff>0</xdr:rowOff>
                  </from>
                  <to>
                    <xdr:col>14</xdr:col>
                    <xdr:colOff>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3" name="Button 10">
              <controlPr defaultSize="0" print="0" autoFill="0" autoPict="0">
                <anchor moveWithCells="1" sizeWithCells="1">
                  <from>
                    <xdr:col>14</xdr:col>
                    <xdr:colOff>0</xdr:colOff>
                    <xdr:row>35</xdr:row>
                    <xdr:rowOff>0</xdr:rowOff>
                  </from>
                  <to>
                    <xdr:col>14</xdr:col>
                    <xdr:colOff>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14" name="Button 11">
              <controlPr defaultSize="0" print="0" autoFill="0" autoPict="0">
                <anchor moveWithCells="1" sizeWithCells="1">
                  <from>
                    <xdr:col>14</xdr:col>
                    <xdr:colOff>0</xdr:colOff>
                    <xdr:row>35</xdr:row>
                    <xdr:rowOff>0</xdr:rowOff>
                  </from>
                  <to>
                    <xdr:col>14</xdr:col>
                    <xdr:colOff>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15" name="Button 12">
              <controlPr defaultSize="0" print="0" autoFill="0" autoPict="0">
                <anchor moveWithCells="1" sizeWithCells="1">
                  <from>
                    <xdr:col>14</xdr:col>
                    <xdr:colOff>0</xdr:colOff>
                    <xdr:row>35</xdr:row>
                    <xdr:rowOff>0</xdr:rowOff>
                  </from>
                  <to>
                    <xdr:col>14</xdr:col>
                    <xdr:colOff>0</xdr:colOff>
                    <xdr:row>35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3"/>
  <dimension ref="A1:P108"/>
  <sheetViews>
    <sheetView topLeftCell="A4" zoomScale="70" zoomScaleNormal="70" workbookViewId="0">
      <selection activeCell="A9" sqref="A9:A15"/>
    </sheetView>
  </sheetViews>
  <sheetFormatPr defaultColWidth="9.140625" defaultRowHeight="16.5" x14ac:dyDescent="0.3"/>
  <cols>
    <col min="1" max="1" width="36.85546875" style="193" customWidth="1"/>
    <col min="2" max="4" width="19.28515625" style="193" customWidth="1"/>
    <col min="5" max="5" width="2.7109375" style="193" customWidth="1"/>
    <col min="6" max="10" width="19.140625" style="193" customWidth="1"/>
    <col min="11" max="16384" width="9.140625" style="193"/>
  </cols>
  <sheetData>
    <row r="1" spans="1:10" ht="27" customHeight="1" x14ac:dyDescent="0.35">
      <c r="A1" s="625" t="s">
        <v>61</v>
      </c>
      <c r="B1" s="626"/>
      <c r="C1" s="626"/>
      <c r="D1" s="626"/>
    </row>
    <row r="2" spans="1:10" ht="27" customHeight="1" x14ac:dyDescent="0.3">
      <c r="A2" s="627">
        <f>Fri!L3</f>
        <v>46059</v>
      </c>
      <c r="B2" s="628"/>
      <c r="C2" s="628"/>
      <c r="D2" s="628"/>
    </row>
    <row r="3" spans="1:10" ht="27" customHeight="1" x14ac:dyDescent="0.3">
      <c r="A3" s="629" t="s">
        <v>168</v>
      </c>
      <c r="B3" s="630"/>
      <c r="C3" s="630"/>
      <c r="D3" s="630"/>
    </row>
    <row r="4" spans="1:10" ht="17.25" thickBot="1" x14ac:dyDescent="0.35">
      <c r="A4" s="194"/>
      <c r="B4" s="195"/>
      <c r="C4" s="196"/>
      <c r="D4" s="196"/>
    </row>
    <row r="5" spans="1:10" ht="24" customHeight="1" thickBot="1" x14ac:dyDescent="0.35">
      <c r="A5" s="431" t="s">
        <v>63</v>
      </c>
      <c r="B5" s="426" t="s">
        <v>169</v>
      </c>
      <c r="C5" s="197" t="s">
        <v>161</v>
      </c>
      <c r="F5" s="342" t="s">
        <v>65</v>
      </c>
      <c r="G5" s="475">
        <f>SUM(G6:G9)</f>
        <v>0</v>
      </c>
    </row>
    <row r="6" spans="1:10" ht="24" customHeight="1" x14ac:dyDescent="0.3">
      <c r="A6" s="432" t="s">
        <v>66</v>
      </c>
      <c r="B6" s="427">
        <f>Takings!B28</f>
        <v>0</v>
      </c>
      <c r="C6" s="199">
        <f>SUM(Takings!B24:B28)</f>
        <v>0</v>
      </c>
      <c r="F6" s="340" t="s">
        <v>70</v>
      </c>
      <c r="G6" s="341">
        <f>Takings!C9</f>
        <v>0</v>
      </c>
    </row>
    <row r="7" spans="1:10" ht="24" customHeight="1" x14ac:dyDescent="0.3">
      <c r="A7" s="355" t="s">
        <v>68</v>
      </c>
      <c r="B7" s="428">
        <f>Takings!C28</f>
        <v>0</v>
      </c>
      <c r="C7" s="201">
        <f>SUM(Takings!C24:C28)</f>
        <v>0</v>
      </c>
      <c r="F7" s="340" t="s">
        <v>329</v>
      </c>
      <c r="G7" s="341">
        <f>Takings!D9</f>
        <v>0</v>
      </c>
    </row>
    <row r="8" spans="1:10" ht="24" customHeight="1" x14ac:dyDescent="0.3">
      <c r="A8" s="355" t="s">
        <v>69</v>
      </c>
      <c r="B8" s="428">
        <f>Takings!I9</f>
        <v>0</v>
      </c>
      <c r="C8" s="201">
        <f>SUM(Takings!I5:I9)</f>
        <v>0</v>
      </c>
      <c r="F8" s="200" t="s">
        <v>67</v>
      </c>
      <c r="G8" s="201">
        <f>Takings!E9</f>
        <v>0</v>
      </c>
    </row>
    <row r="9" spans="1:10" ht="24" customHeight="1" thickBot="1" x14ac:dyDescent="0.35">
      <c r="A9" s="846" t="s">
        <v>71</v>
      </c>
      <c r="B9" s="429"/>
      <c r="C9" s="302"/>
      <c r="F9" s="202" t="s">
        <v>330</v>
      </c>
      <c r="G9" s="203">
        <f>Takings!F9</f>
        <v>0</v>
      </c>
    </row>
    <row r="10" spans="1:10" ht="24" customHeight="1" x14ac:dyDescent="0.3">
      <c r="A10" s="846" t="s">
        <v>72</v>
      </c>
      <c r="B10" s="429"/>
      <c r="C10" s="302"/>
    </row>
    <row r="11" spans="1:10" ht="24" customHeight="1" x14ac:dyDescent="0.3">
      <c r="A11" s="846" t="s">
        <v>73</v>
      </c>
      <c r="B11" s="429"/>
      <c r="C11" s="302"/>
    </row>
    <row r="12" spans="1:10" ht="24" customHeight="1" x14ac:dyDescent="0.3">
      <c r="A12" s="846" t="s">
        <v>339</v>
      </c>
      <c r="B12" s="429"/>
      <c r="C12" s="302"/>
    </row>
    <row r="13" spans="1:10" ht="24" customHeight="1" thickBot="1" x14ac:dyDescent="0.35">
      <c r="A13" s="846" t="s">
        <v>337</v>
      </c>
      <c r="B13" s="429"/>
      <c r="C13" s="302"/>
    </row>
    <row r="14" spans="1:10" ht="24" customHeight="1" thickBot="1" x14ac:dyDescent="0.35">
      <c r="A14" s="846" t="s">
        <v>338</v>
      </c>
      <c r="B14" s="429"/>
      <c r="C14" s="302"/>
      <c r="F14" s="722" t="s">
        <v>74</v>
      </c>
      <c r="G14" s="723"/>
      <c r="H14" s="723"/>
      <c r="I14" s="723"/>
      <c r="J14" s="724"/>
    </row>
    <row r="15" spans="1:10" ht="24" customHeight="1" thickBot="1" x14ac:dyDescent="0.35">
      <c r="A15" s="846" t="s">
        <v>75</v>
      </c>
      <c r="B15" s="429"/>
      <c r="C15" s="302"/>
      <c r="F15" s="578" t="s">
        <v>76</v>
      </c>
      <c r="G15" s="585"/>
      <c r="H15" s="578" t="s">
        <v>77</v>
      </c>
      <c r="I15" s="725"/>
      <c r="J15" s="726"/>
    </row>
    <row r="16" spans="1:10" ht="24" customHeight="1" x14ac:dyDescent="0.3">
      <c r="A16" s="355" t="s">
        <v>65</v>
      </c>
      <c r="B16" s="428">
        <f>Takings!F46</f>
        <v>0</v>
      </c>
      <c r="C16" s="201">
        <f>SUM(Takings!B46:F46)</f>
        <v>0</v>
      </c>
      <c r="F16" s="727" t="s">
        <v>78</v>
      </c>
      <c r="G16" s="735"/>
      <c r="H16" s="730"/>
      <c r="I16" s="730"/>
      <c r="J16" s="731"/>
    </row>
    <row r="17" spans="1:10" ht="24" customHeight="1" thickBot="1" x14ac:dyDescent="0.35">
      <c r="A17" s="355" t="s">
        <v>79</v>
      </c>
      <c r="B17" s="428">
        <f>Takings!F49</f>
        <v>0</v>
      </c>
      <c r="C17" s="201">
        <f>SUM(Takings!B49:F49)</f>
        <v>0</v>
      </c>
      <c r="F17" s="728"/>
      <c r="G17" s="732"/>
      <c r="H17" s="733"/>
      <c r="I17" s="733"/>
      <c r="J17" s="734"/>
    </row>
    <row r="18" spans="1:10" ht="24" customHeight="1" x14ac:dyDescent="0.3">
      <c r="A18" s="514" t="s">
        <v>80</v>
      </c>
      <c r="B18" s="516">
        <f>Takings!H9</f>
        <v>0</v>
      </c>
      <c r="C18" s="517">
        <f>SUM(Takings!H5:H9)</f>
        <v>0</v>
      </c>
      <c r="F18" s="727" t="s">
        <v>81</v>
      </c>
      <c r="G18" s="735"/>
      <c r="H18" s="730"/>
      <c r="I18" s="730"/>
      <c r="J18" s="731"/>
    </row>
    <row r="19" spans="1:10" ht="24" customHeight="1" thickBot="1" x14ac:dyDescent="0.35">
      <c r="A19" s="433" t="s">
        <v>22</v>
      </c>
      <c r="B19" s="430">
        <f>Takings!L41</f>
        <v>0</v>
      </c>
      <c r="C19" s="203">
        <f>SUM(Takings!L37:L41)</f>
        <v>0</v>
      </c>
      <c r="F19" s="728"/>
      <c r="G19" s="732"/>
      <c r="H19" s="733"/>
      <c r="I19" s="733"/>
      <c r="J19" s="734"/>
    </row>
    <row r="20" spans="1:10" ht="39" customHeight="1" thickBot="1" x14ac:dyDescent="0.35">
      <c r="F20" s="736" t="s">
        <v>331</v>
      </c>
      <c r="G20" s="737"/>
      <c r="H20" s="737"/>
      <c r="I20" s="737"/>
      <c r="J20" s="738"/>
    </row>
    <row r="21" spans="1:10" ht="24" customHeight="1" thickBot="1" x14ac:dyDescent="0.35">
      <c r="A21" s="204"/>
      <c r="B21" s="205" t="s">
        <v>82</v>
      </c>
      <c r="C21" s="206" t="s">
        <v>83</v>
      </c>
      <c r="D21" s="207" t="s">
        <v>84</v>
      </c>
      <c r="F21" s="578" t="s">
        <v>79</v>
      </c>
      <c r="G21" s="583">
        <f>Fri!C22+Fri!C28</f>
        <v>0</v>
      </c>
      <c r="H21" s="578" t="s">
        <v>85</v>
      </c>
      <c r="I21" s="668">
        <f>Fri!J29</f>
        <v>0</v>
      </c>
      <c r="J21" s="669"/>
    </row>
    <row r="22" spans="1:10" ht="24" customHeight="1" thickBot="1" x14ac:dyDescent="0.35">
      <c r="A22" s="210" t="s">
        <v>86</v>
      </c>
      <c r="B22" s="211"/>
      <c r="C22" s="212"/>
      <c r="D22" s="213"/>
      <c r="F22" s="657" t="s">
        <v>87</v>
      </c>
      <c r="G22" s="659"/>
      <c r="H22" s="660"/>
      <c r="I22" s="660"/>
      <c r="J22" s="661"/>
    </row>
    <row r="23" spans="1:10" ht="24" customHeight="1" thickBot="1" x14ac:dyDescent="0.35">
      <c r="A23" s="230"/>
      <c r="B23" s="642" t="s">
        <v>88</v>
      </c>
      <c r="C23" s="643"/>
      <c r="D23" s="644"/>
      <c r="F23" s="658"/>
      <c r="G23" s="662"/>
      <c r="H23" s="663"/>
      <c r="I23" s="663"/>
      <c r="J23" s="664"/>
    </row>
    <row r="24" spans="1:10" ht="24" customHeight="1" x14ac:dyDescent="0.3">
      <c r="A24" s="220" t="s">
        <v>89</v>
      </c>
      <c r="B24" s="319">
        <f>G75</f>
        <v>0</v>
      </c>
      <c r="C24" s="320" t="s">
        <v>90</v>
      </c>
      <c r="D24" s="324"/>
      <c r="F24" s="657" t="s">
        <v>91</v>
      </c>
      <c r="G24" s="670"/>
      <c r="H24" s="671"/>
      <c r="I24" s="671"/>
      <c r="J24" s="672"/>
    </row>
    <row r="25" spans="1:10" ht="24" customHeight="1" thickBot="1" x14ac:dyDescent="0.35">
      <c r="A25" s="220" t="s">
        <v>92</v>
      </c>
      <c r="B25" s="631"/>
      <c r="C25" s="632"/>
      <c r="D25" s="633"/>
      <c r="F25" s="658"/>
      <c r="G25" s="673"/>
      <c r="H25" s="674"/>
      <c r="I25" s="674"/>
      <c r="J25" s="675"/>
    </row>
    <row r="26" spans="1:10" ht="24" customHeight="1" x14ac:dyDescent="0.3">
      <c r="A26" s="220" t="s">
        <v>93</v>
      </c>
      <c r="B26" s="631"/>
      <c r="C26" s="632"/>
      <c r="D26" s="633"/>
      <c r="F26" s="657" t="s">
        <v>94</v>
      </c>
      <c r="G26" s="659"/>
      <c r="H26" s="660"/>
      <c r="I26" s="660"/>
      <c r="J26" s="661"/>
    </row>
    <row r="27" spans="1:10" ht="24" customHeight="1" thickBot="1" x14ac:dyDescent="0.35">
      <c r="A27" s="225" t="s">
        <v>95</v>
      </c>
      <c r="B27" s="634"/>
      <c r="C27" s="634"/>
      <c r="D27" s="635"/>
      <c r="F27" s="658"/>
      <c r="G27" s="662"/>
      <c r="H27" s="663"/>
      <c r="I27" s="663"/>
      <c r="J27" s="664"/>
    </row>
    <row r="28" spans="1:10" ht="24" customHeight="1" thickBot="1" x14ac:dyDescent="0.35">
      <c r="A28" s="219" t="s">
        <v>96</v>
      </c>
      <c r="B28" s="321">
        <f>B6-B24</f>
        <v>0</v>
      </c>
      <c r="C28" s="322" t="s">
        <v>90</v>
      </c>
      <c r="D28" s="323"/>
      <c r="F28" s="665" t="s">
        <v>329</v>
      </c>
      <c r="G28" s="666"/>
      <c r="H28" s="666"/>
      <c r="I28" s="666"/>
      <c r="J28" s="667"/>
    </row>
    <row r="29" spans="1:10" ht="24" customHeight="1" thickBot="1" x14ac:dyDescent="0.35">
      <c r="A29" s="220" t="s">
        <v>97</v>
      </c>
      <c r="B29" s="631"/>
      <c r="C29" s="632"/>
      <c r="D29" s="633"/>
      <c r="F29" s="578" t="s">
        <v>79</v>
      </c>
      <c r="G29" s="583">
        <f>Fri!C8</f>
        <v>0</v>
      </c>
      <c r="H29" s="578" t="s">
        <v>85</v>
      </c>
      <c r="I29" s="668">
        <f>Fri!J9</f>
        <v>0</v>
      </c>
      <c r="J29" s="669"/>
    </row>
    <row r="30" spans="1:10" ht="24" customHeight="1" x14ac:dyDescent="0.3">
      <c r="A30" s="220" t="s">
        <v>93</v>
      </c>
      <c r="B30" s="631"/>
      <c r="C30" s="632"/>
      <c r="D30" s="633"/>
      <c r="F30" s="657" t="s">
        <v>87</v>
      </c>
      <c r="G30" s="659"/>
      <c r="H30" s="660"/>
      <c r="I30" s="660"/>
      <c r="J30" s="661"/>
    </row>
    <row r="31" spans="1:10" ht="24" customHeight="1" thickBot="1" x14ac:dyDescent="0.35">
      <c r="A31" s="225" t="s">
        <v>95</v>
      </c>
      <c r="B31" s="634"/>
      <c r="C31" s="679"/>
      <c r="D31" s="680"/>
      <c r="F31" s="658"/>
      <c r="G31" s="662"/>
      <c r="H31" s="663"/>
      <c r="I31" s="663"/>
      <c r="J31" s="664"/>
    </row>
    <row r="32" spans="1:10" ht="24" customHeight="1" x14ac:dyDescent="0.3">
      <c r="A32" s="220"/>
      <c r="B32" s="698" t="s">
        <v>332</v>
      </c>
      <c r="C32" s="699"/>
      <c r="D32" s="700"/>
      <c r="F32" s="657" t="s">
        <v>91</v>
      </c>
      <c r="G32" s="659"/>
      <c r="H32" s="660"/>
      <c r="I32" s="660"/>
      <c r="J32" s="661"/>
    </row>
    <row r="33" spans="1:16" ht="24" customHeight="1" thickBot="1" x14ac:dyDescent="0.35">
      <c r="A33" s="220" t="s">
        <v>333</v>
      </c>
      <c r="B33" s="631"/>
      <c r="C33" s="701"/>
      <c r="D33" s="702"/>
      <c r="F33" s="658"/>
      <c r="G33" s="662"/>
      <c r="H33" s="663"/>
      <c r="I33" s="663"/>
      <c r="J33" s="664"/>
    </row>
    <row r="34" spans="1:16" ht="24" customHeight="1" x14ac:dyDescent="0.3">
      <c r="A34" s="220" t="s">
        <v>334</v>
      </c>
      <c r="B34" s="631"/>
      <c r="C34" s="701"/>
      <c r="D34" s="702"/>
      <c r="F34" s="657" t="s">
        <v>94</v>
      </c>
      <c r="G34" s="670"/>
      <c r="H34" s="671"/>
      <c r="I34" s="671"/>
      <c r="J34" s="672"/>
    </row>
    <row r="35" spans="1:16" ht="24" customHeight="1" thickBot="1" x14ac:dyDescent="0.35">
      <c r="A35" s="220" t="s">
        <v>335</v>
      </c>
      <c r="B35" s="631"/>
      <c r="C35" s="701"/>
      <c r="D35" s="702"/>
      <c r="F35" s="658"/>
      <c r="G35" s="673"/>
      <c r="H35" s="674"/>
      <c r="I35" s="674"/>
      <c r="J35" s="675"/>
    </row>
    <row r="36" spans="1:16" ht="24" customHeight="1" thickBot="1" x14ac:dyDescent="0.35">
      <c r="A36" s="220" t="s">
        <v>98</v>
      </c>
      <c r="B36" s="631"/>
      <c r="C36" s="701"/>
      <c r="D36" s="702"/>
      <c r="F36" s="676" t="s">
        <v>99</v>
      </c>
      <c r="G36" s="677"/>
      <c r="H36" s="677"/>
      <c r="I36" s="677"/>
      <c r="J36" s="678"/>
    </row>
    <row r="37" spans="1:16" ht="24" customHeight="1" thickBot="1" x14ac:dyDescent="0.35">
      <c r="A37" s="225" t="s">
        <v>336</v>
      </c>
      <c r="B37" s="634"/>
      <c r="C37" s="703"/>
      <c r="D37" s="704"/>
      <c r="F37" s="578" t="s">
        <v>79</v>
      </c>
      <c r="G37" s="583">
        <f>Fri!C15</f>
        <v>0</v>
      </c>
      <c r="H37" s="578" t="s">
        <v>85</v>
      </c>
      <c r="I37" s="668">
        <f>Fri!J16</f>
        <v>0</v>
      </c>
      <c r="J37" s="669"/>
    </row>
    <row r="38" spans="1:16" ht="24" customHeight="1" x14ac:dyDescent="0.3">
      <c r="A38" s="220"/>
      <c r="B38" s="648" t="s">
        <v>100</v>
      </c>
      <c r="C38" s="649"/>
      <c r="D38" s="650"/>
      <c r="F38" s="657" t="s">
        <v>87</v>
      </c>
      <c r="G38" s="659"/>
      <c r="H38" s="660"/>
      <c r="I38" s="660"/>
      <c r="J38" s="661"/>
    </row>
    <row r="39" spans="1:16" ht="24" customHeight="1" thickBot="1" x14ac:dyDescent="0.35">
      <c r="A39" s="220" t="s">
        <v>101</v>
      </c>
      <c r="B39" s="695"/>
      <c r="C39" s="696"/>
      <c r="D39" s="697"/>
      <c r="F39" s="658"/>
      <c r="G39" s="662"/>
      <c r="H39" s="663"/>
      <c r="I39" s="663"/>
      <c r="J39" s="664"/>
    </row>
    <row r="40" spans="1:16" ht="24" customHeight="1" x14ac:dyDescent="0.3">
      <c r="A40" s="220" t="s">
        <v>102</v>
      </c>
      <c r="B40" s="639" t="e">
        <f>Takings!B28/Takings!E28</f>
        <v>#DIV/0!</v>
      </c>
      <c r="C40" s="640"/>
      <c r="D40" s="641"/>
      <c r="F40" s="657" t="s">
        <v>91</v>
      </c>
      <c r="G40" s="659"/>
      <c r="H40" s="660"/>
      <c r="I40" s="660"/>
      <c r="J40" s="661"/>
    </row>
    <row r="41" spans="1:16" ht="24" customHeight="1" thickBot="1" x14ac:dyDescent="0.35">
      <c r="A41" s="220" t="s">
        <v>103</v>
      </c>
      <c r="B41" s="645"/>
      <c r="C41" s="646"/>
      <c r="D41" s="647"/>
      <c r="F41" s="658"/>
      <c r="G41" s="662"/>
      <c r="H41" s="663"/>
      <c r="I41" s="663"/>
      <c r="J41" s="664"/>
      <c r="P41" s="584"/>
    </row>
    <row r="42" spans="1:16" ht="24" customHeight="1" x14ac:dyDescent="0.3">
      <c r="A42" s="230"/>
      <c r="B42" s="642" t="s">
        <v>22</v>
      </c>
      <c r="C42" s="643"/>
      <c r="D42" s="644"/>
      <c r="F42" s="657" t="s">
        <v>94</v>
      </c>
      <c r="G42" s="670"/>
      <c r="H42" s="671"/>
      <c r="I42" s="671"/>
      <c r="J42" s="672"/>
    </row>
    <row r="43" spans="1:16" ht="24" customHeight="1" thickBot="1" x14ac:dyDescent="0.35">
      <c r="A43" s="220" t="s">
        <v>104</v>
      </c>
      <c r="B43" s="636"/>
      <c r="C43" s="637"/>
      <c r="D43" s="638"/>
      <c r="F43" s="658"/>
      <c r="G43" s="673"/>
      <c r="H43" s="674"/>
      <c r="I43" s="674"/>
      <c r="J43" s="675"/>
    </row>
    <row r="44" spans="1:16" ht="24" customHeight="1" thickBot="1" x14ac:dyDescent="0.35">
      <c r="A44" s="220" t="s">
        <v>105</v>
      </c>
      <c r="B44" s="693"/>
      <c r="C44" s="636"/>
      <c r="D44" s="694"/>
      <c r="F44" s="739" t="s">
        <v>106</v>
      </c>
      <c r="G44" s="740"/>
      <c r="H44" s="740"/>
      <c r="I44" s="740"/>
      <c r="J44" s="741"/>
    </row>
    <row r="45" spans="1:16" ht="24" customHeight="1" thickBot="1" x14ac:dyDescent="0.35">
      <c r="A45" s="220" t="s">
        <v>107</v>
      </c>
      <c r="B45" s="414"/>
      <c r="C45" s="415"/>
      <c r="D45" s="231"/>
      <c r="F45" s="578" t="s">
        <v>79</v>
      </c>
      <c r="G45" s="583">
        <f>Fri!C36+Fri!C42</f>
        <v>0</v>
      </c>
      <c r="H45" s="578" t="s">
        <v>85</v>
      </c>
      <c r="I45" s="668">
        <f>Fri!J43</f>
        <v>0</v>
      </c>
      <c r="J45" s="669"/>
    </row>
    <row r="46" spans="1:16" ht="24" customHeight="1" thickBot="1" x14ac:dyDescent="0.35">
      <c r="A46" s="582"/>
      <c r="B46" s="681"/>
      <c r="C46" s="682"/>
      <c r="D46" s="683"/>
      <c r="F46" s="657" t="s">
        <v>87</v>
      </c>
      <c r="G46" s="659"/>
      <c r="H46" s="660"/>
      <c r="I46" s="660"/>
      <c r="J46" s="661"/>
    </row>
    <row r="47" spans="1:16" ht="24" customHeight="1" thickBot="1" x14ac:dyDescent="0.35">
      <c r="A47" s="581"/>
      <c r="B47" s="690" t="s">
        <v>108</v>
      </c>
      <c r="C47" s="691"/>
      <c r="D47" s="692"/>
      <c r="F47" s="658"/>
      <c r="G47" s="662"/>
      <c r="H47" s="663"/>
      <c r="I47" s="663"/>
      <c r="J47" s="664"/>
    </row>
    <row r="48" spans="1:16" ht="24" customHeight="1" x14ac:dyDescent="0.3">
      <c r="A48" s="579" t="s">
        <v>104</v>
      </c>
      <c r="B48" s="684"/>
      <c r="C48" s="685"/>
      <c r="D48" s="686"/>
      <c r="F48" s="657" t="s">
        <v>91</v>
      </c>
      <c r="G48" s="659"/>
      <c r="H48" s="660"/>
      <c r="I48" s="660"/>
      <c r="J48" s="661"/>
    </row>
    <row r="49" spans="1:10" ht="24" customHeight="1" thickBot="1" x14ac:dyDescent="0.35">
      <c r="A49" s="580" t="s">
        <v>105</v>
      </c>
      <c r="B49" s="687"/>
      <c r="C49" s="688"/>
      <c r="D49" s="689"/>
      <c r="F49" s="658"/>
      <c r="G49" s="662"/>
      <c r="H49" s="663"/>
      <c r="I49" s="663"/>
      <c r="J49" s="664"/>
    </row>
    <row r="50" spans="1:10" ht="24" customHeight="1" x14ac:dyDescent="0.3">
      <c r="A50" s="230"/>
      <c r="B50" s="705" t="s">
        <v>109</v>
      </c>
      <c r="C50" s="643"/>
      <c r="D50" s="644"/>
      <c r="F50" s="657" t="s">
        <v>94</v>
      </c>
      <c r="G50" s="659"/>
      <c r="H50" s="660"/>
      <c r="I50" s="660"/>
      <c r="J50" s="661"/>
    </row>
    <row r="51" spans="1:10" ht="24" customHeight="1" thickBot="1" x14ac:dyDescent="0.35">
      <c r="A51" s="232" t="s">
        <v>110</v>
      </c>
      <c r="B51" s="693"/>
      <c r="C51" s="637"/>
      <c r="D51" s="638"/>
      <c r="F51" s="658"/>
      <c r="G51" s="662"/>
      <c r="H51" s="663"/>
      <c r="I51" s="663"/>
      <c r="J51" s="664"/>
    </row>
    <row r="52" spans="1:10" ht="24" customHeight="1" x14ac:dyDescent="0.3">
      <c r="A52" s="220" t="s">
        <v>111</v>
      </c>
      <c r="B52" s="251" t="s">
        <v>112</v>
      </c>
      <c r="C52" s="253" t="s">
        <v>113</v>
      </c>
      <c r="D52" s="252"/>
    </row>
    <row r="53" spans="1:10" ht="24" customHeight="1" thickBot="1" x14ac:dyDescent="0.35">
      <c r="A53" s="220" t="s">
        <v>114</v>
      </c>
      <c r="B53" s="693" t="s">
        <v>112</v>
      </c>
      <c r="C53" s="637"/>
      <c r="D53" s="638"/>
    </row>
    <row r="54" spans="1:10" ht="24" customHeight="1" thickBot="1" x14ac:dyDescent="0.35">
      <c r="A54" s="230"/>
      <c r="B54" s="705" t="s">
        <v>115</v>
      </c>
      <c r="C54" s="643"/>
      <c r="D54" s="644"/>
      <c r="F54" s="198" t="s">
        <v>116</v>
      </c>
    </row>
    <row r="55" spans="1:10" ht="24" customHeight="1" x14ac:dyDescent="0.3">
      <c r="A55" s="220" t="s">
        <v>117</v>
      </c>
      <c r="B55" s="693"/>
      <c r="C55" s="637"/>
      <c r="D55" s="638"/>
      <c r="F55" s="208" t="s">
        <v>118</v>
      </c>
      <c r="G55" s="651" t="s">
        <v>119</v>
      </c>
      <c r="H55" s="652"/>
      <c r="I55" s="653"/>
      <c r="J55" s="209" t="s">
        <v>120</v>
      </c>
    </row>
    <row r="56" spans="1:10" ht="24" customHeight="1" x14ac:dyDescent="0.3">
      <c r="A56" s="220" t="s">
        <v>111</v>
      </c>
      <c r="B56" s="693"/>
      <c r="C56" s="637"/>
      <c r="D56" s="638"/>
      <c r="F56" s="343"/>
      <c r="G56" s="654"/>
      <c r="H56" s="655"/>
      <c r="I56" s="656"/>
      <c r="J56" s="215"/>
    </row>
    <row r="57" spans="1:10" ht="24" customHeight="1" thickBot="1" x14ac:dyDescent="0.35">
      <c r="A57" s="220" t="s">
        <v>114</v>
      </c>
      <c r="B57" s="693"/>
      <c r="C57" s="637"/>
      <c r="D57" s="638"/>
      <c r="F57" s="343"/>
      <c r="G57" s="654"/>
      <c r="H57" s="655"/>
      <c r="I57" s="656"/>
      <c r="J57" s="215"/>
    </row>
    <row r="58" spans="1:10" ht="24" customHeight="1" x14ac:dyDescent="0.3">
      <c r="A58" s="238"/>
      <c r="B58" s="620" t="s">
        <v>121</v>
      </c>
      <c r="C58" s="620"/>
      <c r="D58" s="621"/>
      <c r="F58" s="343"/>
      <c r="G58" s="654"/>
      <c r="H58" s="655"/>
      <c r="I58" s="656"/>
      <c r="J58" s="215"/>
    </row>
    <row r="59" spans="1:10" ht="24" customHeight="1" x14ac:dyDescent="0.3">
      <c r="A59" s="239" t="s">
        <v>122</v>
      </c>
      <c r="B59" s="622"/>
      <c r="C59" s="623"/>
      <c r="D59" s="624"/>
      <c r="F59" s="343"/>
      <c r="G59" s="654"/>
      <c r="H59" s="655"/>
      <c r="I59" s="656"/>
      <c r="J59" s="215"/>
    </row>
    <row r="60" spans="1:10" ht="24" customHeight="1" thickBot="1" x14ac:dyDescent="0.35">
      <c r="A60" s="239" t="s">
        <v>123</v>
      </c>
      <c r="B60" s="614"/>
      <c r="C60" s="710"/>
      <c r="D60" s="711"/>
      <c r="E60" s="237"/>
      <c r="F60" s="343"/>
      <c r="G60" s="654"/>
      <c r="H60" s="655"/>
      <c r="I60" s="656"/>
      <c r="J60" s="215"/>
    </row>
    <row r="61" spans="1:10" ht="24" customHeight="1" x14ac:dyDescent="0.3">
      <c r="A61" s="238"/>
      <c r="B61" s="713" t="s">
        <v>124</v>
      </c>
      <c r="C61" s="620"/>
      <c r="D61" s="621"/>
      <c r="E61" s="237"/>
      <c r="F61" s="214"/>
      <c r="G61" s="654"/>
      <c r="H61" s="655"/>
      <c r="I61" s="656"/>
      <c r="J61" s="215"/>
    </row>
    <row r="62" spans="1:10" ht="24" customHeight="1" x14ac:dyDescent="0.3">
      <c r="A62" s="239" t="s">
        <v>125</v>
      </c>
      <c r="B62" s="614"/>
      <c r="C62" s="615"/>
      <c r="D62" s="616"/>
      <c r="E62" s="237"/>
      <c r="F62" s="214"/>
      <c r="G62" s="654"/>
      <c r="H62" s="655"/>
      <c r="I62" s="656"/>
      <c r="J62" s="215"/>
    </row>
    <row r="63" spans="1:10" ht="24" customHeight="1" thickBot="1" x14ac:dyDescent="0.35">
      <c r="A63" s="240"/>
      <c r="B63" s="617"/>
      <c r="C63" s="618"/>
      <c r="D63" s="619"/>
      <c r="E63" s="237"/>
      <c r="F63" s="216"/>
      <c r="G63" s="707"/>
      <c r="H63" s="708"/>
      <c r="I63" s="709"/>
      <c r="J63" s="217"/>
    </row>
    <row r="64" spans="1:10" ht="24" customHeight="1" thickBot="1" x14ac:dyDescent="0.35">
      <c r="A64" s="241" t="s">
        <v>126</v>
      </c>
      <c r="B64" s="706"/>
      <c r="C64" s="714"/>
      <c r="D64" s="715"/>
      <c r="E64" s="237"/>
    </row>
    <row r="65" spans="1:10" ht="24" customHeight="1" x14ac:dyDescent="0.3">
      <c r="A65" s="242"/>
      <c r="B65" s="717" t="s">
        <v>127</v>
      </c>
      <c r="C65" s="718"/>
      <c r="D65" s="719"/>
      <c r="E65" s="237"/>
      <c r="F65" s="218" t="s">
        <v>88</v>
      </c>
      <c r="G65" s="218"/>
      <c r="H65" s="198" t="s">
        <v>128</v>
      </c>
      <c r="I65" s="218" t="s">
        <v>129</v>
      </c>
      <c r="J65" s="218" t="s">
        <v>130</v>
      </c>
    </row>
    <row r="66" spans="1:10" ht="24" customHeight="1" thickBot="1" x14ac:dyDescent="0.35">
      <c r="A66" s="434" t="s">
        <v>131</v>
      </c>
      <c r="B66" s="712"/>
      <c r="C66" s="720"/>
      <c r="D66" s="721"/>
      <c r="E66" s="237"/>
      <c r="F66" s="92" t="s">
        <v>130</v>
      </c>
      <c r="G66" s="92" t="s">
        <v>40</v>
      </c>
      <c r="H66" s="92" t="s">
        <v>40</v>
      </c>
      <c r="I66" s="92" t="s">
        <v>132</v>
      </c>
      <c r="J66" s="92" t="s">
        <v>133</v>
      </c>
    </row>
    <row r="67" spans="1:10" ht="24" customHeight="1" x14ac:dyDescent="0.3">
      <c r="A67" s="339" t="s">
        <v>134</v>
      </c>
      <c r="B67" s="712"/>
      <c r="C67" s="720"/>
      <c r="D67" s="721"/>
      <c r="E67" s="237"/>
      <c r="F67" s="110" t="s">
        <v>135</v>
      </c>
      <c r="G67" s="221"/>
      <c r="H67" s="222"/>
      <c r="I67" s="223"/>
      <c r="J67" s="224">
        <v>23</v>
      </c>
    </row>
    <row r="68" spans="1:10" ht="24" customHeight="1" x14ac:dyDescent="0.3">
      <c r="A68" s="243" t="s">
        <v>136</v>
      </c>
      <c r="B68" s="712"/>
      <c r="C68" s="710"/>
      <c r="D68" s="711"/>
      <c r="F68" s="118" t="s">
        <v>137</v>
      </c>
      <c r="G68" s="226"/>
      <c r="H68" s="227">
        <f t="shared" ref="H68:H73" si="0">G68-G67</f>
        <v>0</v>
      </c>
      <c r="I68" s="228"/>
      <c r="J68" s="229">
        <v>23</v>
      </c>
    </row>
    <row r="69" spans="1:10" ht="24" customHeight="1" thickBot="1" x14ac:dyDescent="0.35">
      <c r="A69" s="243" t="s">
        <v>138</v>
      </c>
      <c r="B69" s="716"/>
      <c r="C69" s="682"/>
      <c r="D69" s="683"/>
      <c r="F69" s="118" t="s">
        <v>139</v>
      </c>
      <c r="G69" s="226"/>
      <c r="H69" s="227">
        <f t="shared" si="0"/>
        <v>0</v>
      </c>
      <c r="I69" s="228"/>
      <c r="J69" s="229">
        <v>23</v>
      </c>
    </row>
    <row r="70" spans="1:10" ht="24" customHeight="1" x14ac:dyDescent="0.3">
      <c r="A70" s="244"/>
      <c r="B70" s="713" t="s">
        <v>140</v>
      </c>
      <c r="C70" s="620"/>
      <c r="D70" s="621"/>
      <c r="F70" s="118" t="s">
        <v>141</v>
      </c>
      <c r="G70" s="226"/>
      <c r="H70" s="227">
        <f t="shared" si="0"/>
        <v>0</v>
      </c>
      <c r="I70" s="228"/>
      <c r="J70" s="229">
        <v>23</v>
      </c>
    </row>
    <row r="71" spans="1:10" ht="24" customHeight="1" x14ac:dyDescent="0.3">
      <c r="A71" s="243" t="s">
        <v>142</v>
      </c>
      <c r="B71" s="614"/>
      <c r="C71" s="710"/>
      <c r="D71" s="711"/>
      <c r="F71" s="118" t="s">
        <v>143</v>
      </c>
      <c r="G71" s="226"/>
      <c r="H71" s="227">
        <f t="shared" si="0"/>
        <v>0</v>
      </c>
      <c r="I71" s="228"/>
      <c r="J71" s="229">
        <v>23</v>
      </c>
    </row>
    <row r="72" spans="1:10" ht="24" customHeight="1" thickBot="1" x14ac:dyDescent="0.35">
      <c r="A72" s="245" t="s">
        <v>144</v>
      </c>
      <c r="B72" s="706"/>
      <c r="C72" s="682"/>
      <c r="D72" s="683"/>
      <c r="F72" s="118" t="s">
        <v>145</v>
      </c>
      <c r="G72" s="226"/>
      <c r="H72" s="227">
        <f t="shared" si="0"/>
        <v>0</v>
      </c>
      <c r="I72" s="228"/>
      <c r="J72" s="229">
        <v>23</v>
      </c>
    </row>
    <row r="73" spans="1:10" ht="24" customHeight="1" x14ac:dyDescent="0.3">
      <c r="F73" s="118" t="s">
        <v>146</v>
      </c>
      <c r="G73" s="226"/>
      <c r="H73" s="227">
        <f t="shared" si="0"/>
        <v>0</v>
      </c>
      <c r="I73" s="228"/>
      <c r="J73" s="229">
        <v>23</v>
      </c>
    </row>
    <row r="74" spans="1:10" ht="24" customHeight="1" x14ac:dyDescent="0.3">
      <c r="F74" s="118" t="s">
        <v>147</v>
      </c>
      <c r="G74" s="226"/>
      <c r="H74" s="227">
        <f t="shared" ref="H74:H85" si="1">G74-G73</f>
        <v>0</v>
      </c>
      <c r="I74" s="228"/>
      <c r="J74" s="229">
        <v>23</v>
      </c>
    </row>
    <row r="75" spans="1:10" ht="24" customHeight="1" x14ac:dyDescent="0.3">
      <c r="F75" s="118" t="s">
        <v>148</v>
      </c>
      <c r="G75" s="226"/>
      <c r="H75" s="227">
        <f t="shared" si="1"/>
        <v>0</v>
      </c>
      <c r="I75" s="228"/>
      <c r="J75" s="229">
        <v>23</v>
      </c>
    </row>
    <row r="76" spans="1:10" ht="24" customHeight="1" x14ac:dyDescent="0.3">
      <c r="F76" s="118" t="s">
        <v>149</v>
      </c>
      <c r="G76" s="226"/>
      <c r="H76" s="227">
        <f t="shared" si="1"/>
        <v>0</v>
      </c>
      <c r="I76" s="228"/>
      <c r="J76" s="229">
        <v>23</v>
      </c>
    </row>
    <row r="77" spans="1:10" ht="24" customHeight="1" x14ac:dyDescent="0.3">
      <c r="F77" s="118" t="s">
        <v>150</v>
      </c>
      <c r="G77" s="226"/>
      <c r="H77" s="227">
        <f t="shared" si="1"/>
        <v>0</v>
      </c>
      <c r="I77" s="228"/>
      <c r="J77" s="229">
        <v>23</v>
      </c>
    </row>
    <row r="78" spans="1:10" ht="24" customHeight="1" x14ac:dyDescent="0.3">
      <c r="F78" s="118" t="s">
        <v>151</v>
      </c>
      <c r="G78" s="226"/>
      <c r="H78" s="227">
        <f t="shared" si="1"/>
        <v>0</v>
      </c>
      <c r="I78" s="228"/>
      <c r="J78" s="229">
        <v>23</v>
      </c>
    </row>
    <row r="79" spans="1:10" ht="24" customHeight="1" x14ac:dyDescent="0.3">
      <c r="F79" s="118" t="s">
        <v>152</v>
      </c>
      <c r="G79" s="226"/>
      <c r="H79" s="227">
        <f t="shared" si="1"/>
        <v>0</v>
      </c>
      <c r="I79" s="228"/>
      <c r="J79" s="229">
        <v>23</v>
      </c>
    </row>
    <row r="80" spans="1:10" ht="24" customHeight="1" x14ac:dyDescent="0.3">
      <c r="F80" s="118" t="s">
        <v>153</v>
      </c>
      <c r="G80" s="226"/>
      <c r="H80" s="227">
        <f t="shared" si="1"/>
        <v>0</v>
      </c>
      <c r="I80" s="228"/>
      <c r="J80" s="229">
        <v>23</v>
      </c>
    </row>
    <row r="81" spans="6:10" ht="24" customHeight="1" x14ac:dyDescent="0.3">
      <c r="F81" s="118" t="s">
        <v>154</v>
      </c>
      <c r="G81" s="226"/>
      <c r="H81" s="227">
        <f t="shared" si="1"/>
        <v>0</v>
      </c>
      <c r="I81" s="228"/>
      <c r="J81" s="229">
        <v>23</v>
      </c>
    </row>
    <row r="82" spans="6:10" ht="24" customHeight="1" x14ac:dyDescent="0.3">
      <c r="F82" s="118" t="s">
        <v>155</v>
      </c>
      <c r="G82" s="226"/>
      <c r="H82" s="227">
        <f t="shared" si="1"/>
        <v>0</v>
      </c>
      <c r="I82" s="228"/>
      <c r="J82" s="229">
        <v>23</v>
      </c>
    </row>
    <row r="83" spans="6:10" ht="24" customHeight="1" x14ac:dyDescent="0.3">
      <c r="F83" s="118" t="s">
        <v>156</v>
      </c>
      <c r="G83" s="226"/>
      <c r="H83" s="227">
        <f t="shared" si="1"/>
        <v>0</v>
      </c>
      <c r="I83" s="228"/>
      <c r="J83" s="229">
        <v>23</v>
      </c>
    </row>
    <row r="84" spans="6:10" ht="24" customHeight="1" x14ac:dyDescent="0.3">
      <c r="F84" s="118" t="s">
        <v>157</v>
      </c>
      <c r="G84" s="226"/>
      <c r="H84" s="227">
        <f t="shared" si="1"/>
        <v>0</v>
      </c>
      <c r="I84" s="228"/>
      <c r="J84" s="229">
        <v>23</v>
      </c>
    </row>
    <row r="85" spans="6:10" ht="24" customHeight="1" thickBot="1" x14ac:dyDescent="0.35">
      <c r="F85" s="127" t="s">
        <v>158</v>
      </c>
      <c r="G85" s="233"/>
      <c r="H85" s="234">
        <f t="shared" si="1"/>
        <v>0</v>
      </c>
      <c r="I85" s="235"/>
      <c r="J85" s="236">
        <v>23</v>
      </c>
    </row>
    <row r="86" spans="6:10" ht="24" customHeight="1" x14ac:dyDescent="0.3"/>
    <row r="87" spans="6:10" ht="24" customHeight="1" x14ac:dyDescent="0.3"/>
    <row r="88" spans="6:10" ht="24" customHeight="1" x14ac:dyDescent="0.3"/>
    <row r="89" spans="6:10" ht="24" customHeight="1" x14ac:dyDescent="0.3"/>
    <row r="90" spans="6:10" ht="24" customHeight="1" x14ac:dyDescent="0.3"/>
    <row r="91" spans="6:10" ht="24" customHeight="1" x14ac:dyDescent="0.3"/>
    <row r="92" spans="6:10" ht="24" customHeight="1" x14ac:dyDescent="0.3"/>
    <row r="93" spans="6:10" ht="24" customHeight="1" x14ac:dyDescent="0.3"/>
    <row r="94" spans="6:10" ht="24" customHeight="1" x14ac:dyDescent="0.3"/>
    <row r="95" spans="6:10" ht="24" customHeight="1" x14ac:dyDescent="0.3"/>
    <row r="96" spans="6:10" ht="24" customHeight="1" x14ac:dyDescent="0.3"/>
    <row r="97" spans="1:4" ht="24" customHeight="1" x14ac:dyDescent="0.3"/>
    <row r="98" spans="1:4" ht="24" customHeight="1" x14ac:dyDescent="0.3"/>
    <row r="99" spans="1:4" ht="24" customHeight="1" x14ac:dyDescent="0.3"/>
    <row r="100" spans="1:4" ht="24" customHeight="1" x14ac:dyDescent="0.3"/>
    <row r="101" spans="1:4" ht="24" customHeight="1" x14ac:dyDescent="0.3"/>
    <row r="102" spans="1:4" ht="24" customHeight="1" x14ac:dyDescent="0.3">
      <c r="A102" s="237"/>
      <c r="B102" s="237"/>
      <c r="C102" s="237"/>
      <c r="D102" s="237"/>
    </row>
    <row r="103" spans="1:4" ht="24" customHeight="1" x14ac:dyDescent="0.3">
      <c r="A103" s="237"/>
      <c r="B103" s="237"/>
      <c r="C103" s="237"/>
      <c r="D103" s="237"/>
    </row>
    <row r="104" spans="1:4" ht="24" customHeight="1" x14ac:dyDescent="0.3">
      <c r="A104" s="237"/>
      <c r="B104" s="237"/>
      <c r="C104" s="237"/>
      <c r="D104" s="237"/>
    </row>
    <row r="105" spans="1:4" ht="24" customHeight="1" x14ac:dyDescent="0.3">
      <c r="A105" s="237"/>
      <c r="B105" s="237"/>
      <c r="C105" s="237"/>
      <c r="D105" s="237"/>
    </row>
    <row r="106" spans="1:4" ht="24" customHeight="1" x14ac:dyDescent="0.3">
      <c r="A106" s="237"/>
      <c r="B106" s="237"/>
      <c r="C106" s="237"/>
      <c r="D106" s="237"/>
    </row>
    <row r="107" spans="1:4" x14ac:dyDescent="0.3">
      <c r="A107" s="237"/>
      <c r="B107" s="237"/>
      <c r="C107" s="237"/>
      <c r="D107" s="237"/>
    </row>
    <row r="108" spans="1:4" x14ac:dyDescent="0.3">
      <c r="A108" s="237"/>
      <c r="B108" s="237"/>
      <c r="C108" s="237"/>
      <c r="D108" s="237"/>
    </row>
  </sheetData>
  <sheetProtection algorithmName="SHA-512" hashValue="xSsh/6ZLWIgo7f4LW3Sdh5U8CQmDf7XEbQYGpnu08CpFPJSDmUmkW2S6vZ11bQBUoG3Iw7/giD+9WCvxB1mp+Q==" saltValue="GDVa/pgDFEnoGvy5OfNHsQ==" spinCount="100000" sheet="1" objects="1" scenarios="1"/>
  <protectedRanges>
    <protectedRange sqref="A14:A15" name="Range1"/>
    <protectedRange sqref="A9:A13" name="Range1_1"/>
  </protectedRanges>
  <mergeCells count="95">
    <mergeCell ref="F48:F49"/>
    <mergeCell ref="G48:J49"/>
    <mergeCell ref="F50:F51"/>
    <mergeCell ref="G50:J51"/>
    <mergeCell ref="F42:F43"/>
    <mergeCell ref="G42:J43"/>
    <mergeCell ref="F44:J44"/>
    <mergeCell ref="I45:J45"/>
    <mergeCell ref="F46:F47"/>
    <mergeCell ref="G46:J47"/>
    <mergeCell ref="I37:J37"/>
    <mergeCell ref="F38:F39"/>
    <mergeCell ref="G38:J39"/>
    <mergeCell ref="F40:F41"/>
    <mergeCell ref="G40:J41"/>
    <mergeCell ref="F20:J20"/>
    <mergeCell ref="I21:J21"/>
    <mergeCell ref="F22:F23"/>
    <mergeCell ref="G22:J23"/>
    <mergeCell ref="F24:F25"/>
    <mergeCell ref="G24:J25"/>
    <mergeCell ref="F14:J14"/>
    <mergeCell ref="I15:J15"/>
    <mergeCell ref="F16:F17"/>
    <mergeCell ref="G16:J17"/>
    <mergeCell ref="F18:F19"/>
    <mergeCell ref="G18:J19"/>
    <mergeCell ref="B44:D44"/>
    <mergeCell ref="B51:D51"/>
    <mergeCell ref="B61:D61"/>
    <mergeCell ref="B62:D63"/>
    <mergeCell ref="B72:D72"/>
    <mergeCell ref="B71:D71"/>
    <mergeCell ref="B56:D56"/>
    <mergeCell ref="B65:D65"/>
    <mergeCell ref="B67:D67"/>
    <mergeCell ref="B60:D60"/>
    <mergeCell ref="B69:D69"/>
    <mergeCell ref="B70:D70"/>
    <mergeCell ref="B58:D58"/>
    <mergeCell ref="B59:D59"/>
    <mergeCell ref="B64:D64"/>
    <mergeCell ref="B68:D68"/>
    <mergeCell ref="B57:D57"/>
    <mergeCell ref="B66:D66"/>
    <mergeCell ref="G59:I59"/>
    <mergeCell ref="G60:I60"/>
    <mergeCell ref="G61:I61"/>
    <mergeCell ref="G62:I62"/>
    <mergeCell ref="G63:I63"/>
    <mergeCell ref="B55:D55"/>
    <mergeCell ref="B31:D31"/>
    <mergeCell ref="B46:D46"/>
    <mergeCell ref="B48:D48"/>
    <mergeCell ref="B49:D49"/>
    <mergeCell ref="B47:D47"/>
    <mergeCell ref="B50:D50"/>
    <mergeCell ref="B54:D54"/>
    <mergeCell ref="B53:D53"/>
    <mergeCell ref="B43:D43"/>
    <mergeCell ref="B42:D42"/>
    <mergeCell ref="B38:D38"/>
    <mergeCell ref="B39:D39"/>
    <mergeCell ref="B35:D35"/>
    <mergeCell ref="B36:D36"/>
    <mergeCell ref="B37:D37"/>
    <mergeCell ref="G55:I55"/>
    <mergeCell ref="G56:I56"/>
    <mergeCell ref="B23:D23"/>
    <mergeCell ref="G57:I57"/>
    <mergeCell ref="G58:I58"/>
    <mergeCell ref="F26:F27"/>
    <mergeCell ref="G26:J27"/>
    <mergeCell ref="F28:J28"/>
    <mergeCell ref="I29:J29"/>
    <mergeCell ref="F30:F31"/>
    <mergeCell ref="G30:J31"/>
    <mergeCell ref="F32:F33"/>
    <mergeCell ref="G32:J33"/>
    <mergeCell ref="F34:F35"/>
    <mergeCell ref="G34:J35"/>
    <mergeCell ref="F36:J36"/>
    <mergeCell ref="B41:D41"/>
    <mergeCell ref="B40:D40"/>
    <mergeCell ref="B34:D34"/>
    <mergeCell ref="B33:D33"/>
    <mergeCell ref="A1:D1"/>
    <mergeCell ref="A2:D2"/>
    <mergeCell ref="A3:D3"/>
    <mergeCell ref="B27:D27"/>
    <mergeCell ref="B32:D32"/>
    <mergeCell ref="B26:D26"/>
    <mergeCell ref="B25:D25"/>
    <mergeCell ref="B30:D30"/>
    <mergeCell ref="B29:D29"/>
  </mergeCells>
  <conditionalFormatting sqref="B40:D40">
    <cfRule type="cellIs" dxfId="2" priority="1" operator="lessThan">
      <formula>2.1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>
    <pageSetUpPr fitToPage="1"/>
  </sheetPr>
  <dimension ref="A1:R63"/>
  <sheetViews>
    <sheetView topLeftCell="A29" zoomScale="85" zoomScaleNormal="85" workbookViewId="0">
      <selection activeCell="Q8" sqref="Q8"/>
    </sheetView>
  </sheetViews>
  <sheetFormatPr defaultColWidth="9.140625" defaultRowHeight="12.75" x14ac:dyDescent="0.2"/>
  <cols>
    <col min="1" max="1" width="18.140625" style="1" customWidth="1"/>
    <col min="2" max="2" width="13.7109375" style="1" customWidth="1"/>
    <col min="3" max="5" width="11.7109375" style="1" customWidth="1"/>
    <col min="6" max="7" width="13.7109375" style="1" customWidth="1"/>
    <col min="8" max="8" width="13.7109375" style="1" hidden="1" customWidth="1"/>
    <col min="9" max="9" width="15.140625" style="1" customWidth="1"/>
    <col min="10" max="10" width="13.7109375" style="1" customWidth="1"/>
    <col min="11" max="11" width="16.28515625" style="1" customWidth="1"/>
    <col min="12" max="12" width="13.7109375" style="1" customWidth="1"/>
    <col min="13" max="13" width="9.28515625" style="1" customWidth="1"/>
    <col min="14" max="14" width="15.140625" style="1" customWidth="1"/>
    <col min="15" max="15" width="14.5703125" style="1" customWidth="1"/>
    <col min="16" max="16" width="4.42578125" style="1" customWidth="1"/>
    <col min="17" max="17" width="17.7109375" style="1" bestFit="1" customWidth="1"/>
    <col min="18" max="18" width="14" style="1" customWidth="1"/>
    <col min="19" max="16384" width="9.140625" style="1"/>
  </cols>
  <sheetData>
    <row r="1" spans="1:18" ht="20.25" x14ac:dyDescent="0.3">
      <c r="A1" s="742" t="s">
        <v>0</v>
      </c>
      <c r="B1" s="742"/>
      <c r="C1" s="742"/>
      <c r="D1" s="742"/>
      <c r="E1" s="742"/>
      <c r="F1" s="742"/>
      <c r="G1" s="742"/>
      <c r="H1" s="742"/>
      <c r="I1" s="742"/>
      <c r="J1" s="742"/>
      <c r="K1" s="742"/>
      <c r="L1" s="742"/>
    </row>
    <row r="2" spans="1:18" ht="20.25" x14ac:dyDescent="0.3">
      <c r="A2" s="742" t="s">
        <v>170</v>
      </c>
      <c r="B2" s="742"/>
      <c r="C2" s="742"/>
      <c r="D2" s="742"/>
      <c r="E2" s="742"/>
      <c r="F2" s="742"/>
      <c r="G2" s="742"/>
      <c r="H2" s="742"/>
      <c r="I2" s="742"/>
      <c r="J2" s="742"/>
      <c r="K2" s="742"/>
      <c r="L2" s="742"/>
    </row>
    <row r="3" spans="1:18" ht="16.5" thickBot="1" x14ac:dyDescent="0.3">
      <c r="K3" s="20" t="s">
        <v>2</v>
      </c>
      <c r="L3" s="21">
        <f>Fri!L3+1</f>
        <v>46060</v>
      </c>
      <c r="N3" s="9" t="s">
        <v>3</v>
      </c>
      <c r="O3" s="5"/>
      <c r="P3" s="5"/>
      <c r="Q3" s="9" t="s">
        <v>4</v>
      </c>
      <c r="R3" s="5"/>
    </row>
    <row r="4" spans="1:18" s="5" customFormat="1" ht="15.75" thickBot="1" x14ac:dyDescent="0.3">
      <c r="A4" s="360" t="s">
        <v>5</v>
      </c>
      <c r="B4" s="361" t="s">
        <v>6</v>
      </c>
      <c r="C4" s="94" t="s">
        <v>4</v>
      </c>
      <c r="D4" s="94" t="s">
        <v>7</v>
      </c>
      <c r="E4" s="94" t="s">
        <v>8</v>
      </c>
      <c r="F4" s="6" t="s">
        <v>9</v>
      </c>
      <c r="G4" s="356" t="s">
        <v>10</v>
      </c>
      <c r="H4" s="447" t="s">
        <v>11</v>
      </c>
      <c r="I4" s="94" t="s">
        <v>12</v>
      </c>
      <c r="J4" s="6" t="s">
        <v>13</v>
      </c>
      <c r="K4" s="7" t="s">
        <v>14</v>
      </c>
      <c r="L4" s="6" t="s">
        <v>15</v>
      </c>
      <c r="N4" s="52"/>
      <c r="O4" s="41"/>
      <c r="P4" s="3"/>
      <c r="Q4" s="52" t="str">
        <f>A4</f>
        <v>BISTRO</v>
      </c>
      <c r="R4" s="32">
        <f>C8</f>
        <v>0</v>
      </c>
    </row>
    <row r="5" spans="1:18" s="5" customFormat="1" ht="15" thickBot="1" x14ac:dyDescent="0.25">
      <c r="A5" s="362"/>
      <c r="B5" s="52"/>
      <c r="C5" s="359"/>
      <c r="D5" s="359"/>
      <c r="E5" s="359"/>
      <c r="F5" s="24">
        <f>B5-(D5+L5)</f>
        <v>0</v>
      </c>
      <c r="G5" s="357"/>
      <c r="H5" s="448"/>
      <c r="I5" s="463"/>
      <c r="J5" s="31"/>
      <c r="K5" s="32">
        <f>SUM(I5+J5+H5+G5)-F5</f>
        <v>0</v>
      </c>
      <c r="L5" s="33"/>
      <c r="N5" s="53"/>
      <c r="O5" s="49"/>
      <c r="P5" s="3"/>
      <c r="Q5" s="53" t="str">
        <f>A11</f>
        <v>SPORTS BAR</v>
      </c>
      <c r="R5" s="24">
        <f>C15</f>
        <v>0</v>
      </c>
    </row>
    <row r="6" spans="1:18" s="5" customFormat="1" ht="15" thickBot="1" x14ac:dyDescent="0.25">
      <c r="A6" s="55"/>
      <c r="B6" s="22"/>
      <c r="C6" s="23"/>
      <c r="D6" s="23"/>
      <c r="E6" s="472"/>
      <c r="F6" s="25">
        <f>B6-(D6+L6)</f>
        <v>0</v>
      </c>
      <c r="G6" s="358"/>
      <c r="H6" s="449"/>
      <c r="I6" s="464"/>
      <c r="J6" s="34"/>
      <c r="K6" s="32">
        <f>SUM(I6+J6+H6+G6)-F6</f>
        <v>0</v>
      </c>
      <c r="L6" s="33"/>
      <c r="N6" s="54"/>
      <c r="O6" s="44"/>
      <c r="P6" s="3"/>
      <c r="Q6" s="53" t="s">
        <v>16</v>
      </c>
      <c r="R6" s="24">
        <f>C22+C28</f>
        <v>0</v>
      </c>
    </row>
    <row r="7" spans="1:18" s="5" customFormat="1" ht="15.75" thickBot="1" x14ac:dyDescent="0.3">
      <c r="A7" s="56"/>
      <c r="B7" s="22"/>
      <c r="C7" s="28"/>
      <c r="D7" s="28"/>
      <c r="E7" s="28"/>
      <c r="F7" s="26">
        <f>B7-(D7+L7)</f>
        <v>0</v>
      </c>
      <c r="G7" s="358"/>
      <c r="H7" s="449"/>
      <c r="I7" s="464"/>
      <c r="J7" s="37"/>
      <c r="K7" s="32">
        <f>SUM(I7+J7+H7+G7)-F7</f>
        <v>0</v>
      </c>
      <c r="L7" s="38"/>
      <c r="N7" s="4" t="s">
        <v>17</v>
      </c>
      <c r="O7" s="50">
        <f>O4+O5+O6</f>
        <v>0</v>
      </c>
      <c r="Q7" s="54" t="s">
        <v>18</v>
      </c>
      <c r="R7" s="36">
        <f>+C36+C42</f>
        <v>0</v>
      </c>
    </row>
    <row r="8" spans="1:18" s="5" customFormat="1" ht="15.75" thickBot="1" x14ac:dyDescent="0.3">
      <c r="A8" s="4" t="s">
        <v>19</v>
      </c>
      <c r="B8" s="30">
        <f>SUM(B5:B7)</f>
        <v>0</v>
      </c>
      <c r="C8" s="30">
        <f t="shared" ref="C8" si="0">SUM(C5:C7)</f>
        <v>0</v>
      </c>
      <c r="D8" s="30">
        <f t="shared" ref="D8:L8" si="1">SUM(D5:D7)</f>
        <v>0</v>
      </c>
      <c r="E8" s="30">
        <f t="shared" si="1"/>
        <v>0</v>
      </c>
      <c r="F8" s="30">
        <f t="shared" si="1"/>
        <v>0</v>
      </c>
      <c r="G8" s="30">
        <f t="shared" si="1"/>
        <v>0</v>
      </c>
      <c r="H8" s="450">
        <f t="shared" si="1"/>
        <v>0</v>
      </c>
      <c r="I8" s="465">
        <f t="shared" si="1"/>
        <v>0</v>
      </c>
      <c r="J8" s="48">
        <f t="shared" si="1"/>
        <v>0</v>
      </c>
      <c r="K8" s="32">
        <f>SUM(I8+J8+H8+G8)-F8</f>
        <v>0</v>
      </c>
      <c r="L8" s="30">
        <f t="shared" si="1"/>
        <v>0</v>
      </c>
      <c r="Q8" s="480" t="s">
        <v>20</v>
      </c>
      <c r="R8" s="455">
        <f>C57</f>
        <v>0</v>
      </c>
    </row>
    <row r="9" spans="1:18" s="5" customFormat="1" ht="15.75" thickBot="1" x14ac:dyDescent="0.3">
      <c r="A9" s="9"/>
      <c r="B9" s="60"/>
      <c r="C9" s="61"/>
      <c r="D9" s="61"/>
      <c r="E9" s="61"/>
      <c r="G9" s="8" t="s">
        <v>21</v>
      </c>
      <c r="J9" s="40">
        <f>SUM(I8+J8+H8+G8)-C8-E8</f>
        <v>0</v>
      </c>
      <c r="K9" s="462"/>
      <c r="L9" s="460"/>
      <c r="Q9" s="4" t="s">
        <v>17</v>
      </c>
      <c r="R9" s="468">
        <f>SUM(R4:R8)</f>
        <v>0</v>
      </c>
    </row>
    <row r="10" spans="1:18" s="5" customFormat="1" ht="15.75" thickBot="1" x14ac:dyDescent="0.3">
      <c r="K10" s="459"/>
      <c r="L10" s="459"/>
      <c r="M10" s="61"/>
      <c r="N10" s="9" t="s">
        <v>22</v>
      </c>
    </row>
    <row r="11" spans="1:18" s="5" customFormat="1" ht="15.75" thickBot="1" x14ac:dyDescent="0.3">
      <c r="A11" s="4" t="s">
        <v>23</v>
      </c>
      <c r="B11" s="6" t="s">
        <v>6</v>
      </c>
      <c r="C11" s="94" t="s">
        <v>4</v>
      </c>
      <c r="D11" s="94" t="s">
        <v>7</v>
      </c>
      <c r="E11" s="94" t="s">
        <v>8</v>
      </c>
      <c r="F11" s="6" t="s">
        <v>9</v>
      </c>
      <c r="G11" s="6" t="s">
        <v>10</v>
      </c>
      <c r="H11" s="447" t="s">
        <v>11</v>
      </c>
      <c r="I11" s="94" t="s">
        <v>12</v>
      </c>
      <c r="J11" s="6" t="s">
        <v>13</v>
      </c>
      <c r="K11" s="7" t="s">
        <v>14</v>
      </c>
      <c r="L11" s="6" t="s">
        <v>15</v>
      </c>
      <c r="N11" s="4" t="s">
        <v>24</v>
      </c>
      <c r="O11" s="58"/>
      <c r="Q11" s="14" t="s">
        <v>25</v>
      </c>
      <c r="R11" s="15"/>
    </row>
    <row r="12" spans="1:18" s="5" customFormat="1" ht="14.25" x14ac:dyDescent="0.2">
      <c r="A12" s="54"/>
      <c r="B12" s="31"/>
      <c r="C12" s="41"/>
      <c r="D12" s="41"/>
      <c r="E12" s="43"/>
      <c r="F12" s="42">
        <f>B12-(D12+L12)</f>
        <v>0</v>
      </c>
      <c r="G12" s="43"/>
      <c r="H12" s="448"/>
      <c r="I12" s="463"/>
      <c r="J12" s="31"/>
      <c r="K12" s="32">
        <f>SUM(I12+J12+H12+G12)-F12</f>
        <v>0</v>
      </c>
      <c r="L12" s="43"/>
      <c r="N12" s="11" t="s">
        <v>26</v>
      </c>
      <c r="O12" s="57"/>
      <c r="Q12" s="16" t="s">
        <v>27</v>
      </c>
      <c r="R12" s="246"/>
    </row>
    <row r="13" spans="1:18" s="5" customFormat="1" ht="14.25" x14ac:dyDescent="0.2">
      <c r="A13" s="54"/>
      <c r="B13" s="35"/>
      <c r="C13" s="44"/>
      <c r="D13" s="44"/>
      <c r="E13" s="46"/>
      <c r="F13" s="45">
        <f>B13-(D13+L13)</f>
        <v>0</v>
      </c>
      <c r="G13" s="46"/>
      <c r="H13" s="449"/>
      <c r="I13" s="464"/>
      <c r="J13" s="35"/>
      <c r="K13" s="24">
        <f>SUM(I13+J13+H13+G13)-F13</f>
        <v>0</v>
      </c>
      <c r="L13" s="46"/>
      <c r="N13" s="2" t="s">
        <v>28</v>
      </c>
      <c r="O13" s="46"/>
      <c r="Q13" s="17" t="s">
        <v>29</v>
      </c>
      <c r="R13" s="247"/>
    </row>
    <row r="14" spans="1:18" s="5" customFormat="1" ht="15" thickBot="1" x14ac:dyDescent="0.25">
      <c r="A14" s="54"/>
      <c r="B14" s="35"/>
      <c r="C14" s="44"/>
      <c r="D14" s="44"/>
      <c r="E14" s="46"/>
      <c r="F14" s="45">
        <f>B14-(D14+L14)</f>
        <v>0</v>
      </c>
      <c r="G14" s="46"/>
      <c r="H14" s="449"/>
      <c r="I14" s="464"/>
      <c r="J14" s="35"/>
      <c r="K14" s="24">
        <f>SUM(I14+J14+H14+G14)-F14</f>
        <v>0</v>
      </c>
      <c r="L14" s="46"/>
      <c r="N14" s="13" t="s">
        <v>30</v>
      </c>
      <c r="O14" s="38"/>
      <c r="Q14" s="2" t="s">
        <v>31</v>
      </c>
      <c r="R14" s="36">
        <f>R12-R13</f>
        <v>0</v>
      </c>
    </row>
    <row r="15" spans="1:18" s="5" customFormat="1" ht="15.75" thickBot="1" x14ac:dyDescent="0.3">
      <c r="A15" s="4" t="s">
        <v>19</v>
      </c>
      <c r="B15" s="47">
        <f t="shared" ref="B15:L15" si="2">SUM(B12:B14)</f>
        <v>0</v>
      </c>
      <c r="C15" s="30">
        <f t="shared" ref="C15" si="3">SUM(C12:C14)</f>
        <v>0</v>
      </c>
      <c r="D15" s="30">
        <f t="shared" si="2"/>
        <v>0</v>
      </c>
      <c r="E15" s="30">
        <f t="shared" si="2"/>
        <v>0</v>
      </c>
      <c r="F15" s="29">
        <f t="shared" si="2"/>
        <v>0</v>
      </c>
      <c r="G15" s="30">
        <f t="shared" si="2"/>
        <v>0</v>
      </c>
      <c r="H15" s="450">
        <f t="shared" si="2"/>
        <v>0</v>
      </c>
      <c r="I15" s="465">
        <f t="shared" si="2"/>
        <v>0</v>
      </c>
      <c r="J15" s="30">
        <f t="shared" si="2"/>
        <v>0</v>
      </c>
      <c r="K15" s="30">
        <f t="shared" si="2"/>
        <v>0</v>
      </c>
      <c r="L15" s="48">
        <f t="shared" si="2"/>
        <v>0</v>
      </c>
      <c r="N15" s="4" t="s">
        <v>17</v>
      </c>
      <c r="O15" s="39">
        <f>SUM(O12:O14)</f>
        <v>0</v>
      </c>
      <c r="Q15" s="17" t="s">
        <v>32</v>
      </c>
      <c r="R15" s="247"/>
    </row>
    <row r="16" spans="1:18" s="5" customFormat="1" ht="15.75" thickBot="1" x14ac:dyDescent="0.3">
      <c r="A16" s="9"/>
      <c r="B16" s="60"/>
      <c r="C16" s="61"/>
      <c r="D16" s="61"/>
      <c r="E16" s="61"/>
      <c r="G16" s="8" t="s">
        <v>33</v>
      </c>
      <c r="J16" s="40">
        <f>SUM(I15+J15+H15+G15)-C15-E15</f>
        <v>0</v>
      </c>
      <c r="K16" s="9"/>
      <c r="L16" s="3"/>
      <c r="N16" s="4" t="s">
        <v>34</v>
      </c>
      <c r="O16" s="59"/>
      <c r="Q16" s="17" t="s">
        <v>35</v>
      </c>
      <c r="R16" s="247"/>
    </row>
    <row r="17" spans="1:18" s="5" customFormat="1" ht="15" thickBot="1" x14ac:dyDescent="0.25">
      <c r="N17" s="11" t="s">
        <v>26</v>
      </c>
      <c r="O17" s="57"/>
      <c r="Q17" s="18" t="s">
        <v>36</v>
      </c>
      <c r="R17" s="248"/>
    </row>
    <row r="18" spans="1:18" s="5" customFormat="1" ht="15.75" thickBot="1" x14ac:dyDescent="0.3">
      <c r="A18" s="360" t="s">
        <v>37</v>
      </c>
      <c r="B18" s="6" t="s">
        <v>6</v>
      </c>
      <c r="C18" s="94" t="s">
        <v>4</v>
      </c>
      <c r="D18" s="94" t="s">
        <v>7</v>
      </c>
      <c r="E18" s="94" t="s">
        <v>8</v>
      </c>
      <c r="F18" s="6" t="s">
        <v>9</v>
      </c>
      <c r="G18" s="6" t="s">
        <v>10</v>
      </c>
      <c r="H18" s="447" t="s">
        <v>11</v>
      </c>
      <c r="I18" s="94" t="s">
        <v>12</v>
      </c>
      <c r="J18" s="6" t="s">
        <v>13</v>
      </c>
      <c r="K18" s="7" t="s">
        <v>14</v>
      </c>
      <c r="L18" s="6" t="s">
        <v>15</v>
      </c>
      <c r="M18" s="61"/>
      <c r="N18" s="2" t="s">
        <v>28</v>
      </c>
      <c r="O18" s="46"/>
      <c r="Q18" s="10" t="s">
        <v>38</v>
      </c>
      <c r="R18" s="27"/>
    </row>
    <row r="19" spans="1:18" s="5" customFormat="1" ht="15.75" thickBot="1" x14ac:dyDescent="0.3">
      <c r="A19" s="52"/>
      <c r="B19" s="31"/>
      <c r="C19" s="41"/>
      <c r="D19" s="41"/>
      <c r="E19" s="43"/>
      <c r="F19" s="42">
        <f>B19-(D19+L19)</f>
        <v>0</v>
      </c>
      <c r="G19" s="43"/>
      <c r="H19" s="448"/>
      <c r="I19" s="463"/>
      <c r="J19" s="31"/>
      <c r="K19" s="32">
        <f>SUM(I19+J19+H19+G19)-F19</f>
        <v>0</v>
      </c>
      <c r="L19" s="43"/>
      <c r="N19" s="13" t="s">
        <v>30</v>
      </c>
      <c r="O19" s="38"/>
      <c r="Q19" s="91" t="s">
        <v>39</v>
      </c>
      <c r="R19" s="249">
        <f>R12-R15-R17-R18</f>
        <v>0</v>
      </c>
    </row>
    <row r="20" spans="1:18" s="5" customFormat="1" ht="15.75" thickBot="1" x14ac:dyDescent="0.3">
      <c r="A20" s="54"/>
      <c r="B20" s="35"/>
      <c r="C20" s="44"/>
      <c r="D20" s="44"/>
      <c r="E20" s="46"/>
      <c r="F20" s="45">
        <f>B20-(D20+L20)</f>
        <v>0</v>
      </c>
      <c r="G20" s="46"/>
      <c r="H20" s="449"/>
      <c r="I20" s="464"/>
      <c r="J20" s="35"/>
      <c r="K20" s="24">
        <f>SUM(I20+J20+H20+G20)-F20</f>
        <v>0</v>
      </c>
      <c r="L20" s="46"/>
      <c r="N20" s="4" t="s">
        <v>17</v>
      </c>
      <c r="O20" s="39">
        <f>SUM(O17:O19)</f>
        <v>0</v>
      </c>
      <c r="Q20" s="19" t="s">
        <v>40</v>
      </c>
      <c r="R20" s="250"/>
    </row>
    <row r="21" spans="1:18" s="5" customFormat="1" ht="15" thickBot="1" x14ac:dyDescent="0.25">
      <c r="A21" s="332"/>
      <c r="B21" s="37"/>
      <c r="C21" s="27"/>
      <c r="D21" s="27"/>
      <c r="E21" s="334"/>
      <c r="F21" s="333">
        <f>B21-(D21+L21)</f>
        <v>0</v>
      </c>
      <c r="G21" s="334"/>
      <c r="H21" s="451"/>
      <c r="I21" s="466"/>
      <c r="J21" s="37"/>
      <c r="K21" s="335">
        <f>SUM(I21+J21+H21+G21)-F21</f>
        <v>0</v>
      </c>
      <c r="L21" s="334"/>
    </row>
    <row r="22" spans="1:18" s="5" customFormat="1" ht="15.75" thickBot="1" x14ac:dyDescent="0.3">
      <c r="A22" s="4" t="s">
        <v>19</v>
      </c>
      <c r="B22" s="47">
        <f>SUM(B19:B21)</f>
        <v>0</v>
      </c>
      <c r="C22" s="47">
        <f t="shared" ref="C22" si="4">SUM(C19:C21)</f>
        <v>0</v>
      </c>
      <c r="D22" s="47">
        <f t="shared" ref="D22:L22" si="5">SUM(D19:D21)</f>
        <v>0</v>
      </c>
      <c r="E22" s="47">
        <f t="shared" si="5"/>
        <v>0</v>
      </c>
      <c r="F22" s="47">
        <f t="shared" si="5"/>
        <v>0</v>
      </c>
      <c r="G22" s="47">
        <f t="shared" si="5"/>
        <v>0</v>
      </c>
      <c r="H22" s="452">
        <f t="shared" si="5"/>
        <v>0</v>
      </c>
      <c r="I22" s="467">
        <f t="shared" si="5"/>
        <v>0</v>
      </c>
      <c r="J22" s="47">
        <f t="shared" si="5"/>
        <v>0</v>
      </c>
      <c r="K22" s="47">
        <f t="shared" si="5"/>
        <v>0</v>
      </c>
      <c r="L22" s="30">
        <f t="shared" si="5"/>
        <v>0</v>
      </c>
      <c r="N22" s="9" t="s">
        <v>10</v>
      </c>
    </row>
    <row r="23" spans="1:18" s="5" customFormat="1" ht="15.75" thickBot="1" x14ac:dyDescent="0.3">
      <c r="A23" s="9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N23" s="62" t="str">
        <f>A11</f>
        <v>SPORTS BAR</v>
      </c>
      <c r="O23" s="63">
        <f>G15</f>
        <v>0</v>
      </c>
      <c r="Q23" s="9" t="s">
        <v>19</v>
      </c>
    </row>
    <row r="24" spans="1:18" s="5" customFormat="1" ht="15.75" thickBot="1" x14ac:dyDescent="0.3">
      <c r="A24" s="4" t="s">
        <v>41</v>
      </c>
      <c r="B24" s="6" t="s">
        <v>6</v>
      </c>
      <c r="C24" s="94" t="s">
        <v>4</v>
      </c>
      <c r="D24" s="94" t="s">
        <v>7</v>
      </c>
      <c r="E24" s="94" t="s">
        <v>8</v>
      </c>
      <c r="F24" s="6" t="s">
        <v>9</v>
      </c>
      <c r="G24" s="6" t="s">
        <v>10</v>
      </c>
      <c r="H24" s="447" t="s">
        <v>11</v>
      </c>
      <c r="I24" s="94" t="s">
        <v>12</v>
      </c>
      <c r="J24" s="6" t="s">
        <v>13</v>
      </c>
      <c r="K24" s="7" t="s">
        <v>14</v>
      </c>
      <c r="L24" s="6" t="s">
        <v>15</v>
      </c>
      <c r="N24" s="12" t="str">
        <f>A4</f>
        <v>BISTRO</v>
      </c>
      <c r="O24" s="51">
        <f>G8</f>
        <v>0</v>
      </c>
      <c r="Q24" s="458" t="s">
        <v>42</v>
      </c>
      <c r="R24" s="456">
        <f>SUM(J29,J51,O7,J43,J16,J9,R19,J58,R9)</f>
        <v>0</v>
      </c>
    </row>
    <row r="25" spans="1:18" s="5" customFormat="1" ht="14.25" x14ac:dyDescent="0.2">
      <c r="A25" s="54"/>
      <c r="B25" s="35"/>
      <c r="C25" s="44"/>
      <c r="D25" s="44"/>
      <c r="E25" s="46"/>
      <c r="F25" s="45">
        <f>B25-(D25+L25)</f>
        <v>0</v>
      </c>
      <c r="G25" s="46"/>
      <c r="H25" s="449"/>
      <c r="I25" s="464"/>
      <c r="J25" s="35"/>
      <c r="K25" s="24">
        <f>SUM(I25+J25+H25+G25)-F25</f>
        <v>0</v>
      </c>
      <c r="L25" s="46"/>
      <c r="N25" s="508" t="s">
        <v>43</v>
      </c>
      <c r="O25" s="509">
        <f>G50</f>
        <v>0</v>
      </c>
      <c r="Q25" s="2" t="s">
        <v>44</v>
      </c>
      <c r="R25" s="45">
        <f>ROUND(+R24/11,2)</f>
        <v>0</v>
      </c>
    </row>
    <row r="26" spans="1:18" s="5" customFormat="1" ht="14.25" x14ac:dyDescent="0.2">
      <c r="A26" s="54"/>
      <c r="B26" s="35"/>
      <c r="C26" s="44"/>
      <c r="D26" s="44"/>
      <c r="E26" s="46"/>
      <c r="F26" s="45">
        <f>B26-(D26+L26)</f>
        <v>0</v>
      </c>
      <c r="G26" s="46"/>
      <c r="H26" s="449"/>
      <c r="I26" s="464"/>
      <c r="J26" s="35"/>
      <c r="K26" s="24">
        <f>SUM(I26+J26+H26+G26)-F26</f>
        <v>0</v>
      </c>
      <c r="L26" s="46"/>
      <c r="M26" s="61"/>
      <c r="N26" s="12" t="s">
        <v>37</v>
      </c>
      <c r="O26" s="51">
        <f>G22</f>
        <v>0</v>
      </c>
      <c r="Q26" s="2" t="s">
        <v>45</v>
      </c>
      <c r="R26" s="46">
        <f>R39</f>
        <v>0</v>
      </c>
    </row>
    <row r="27" spans="1:18" s="5" customFormat="1" ht="15" thickBot="1" x14ac:dyDescent="0.25">
      <c r="A27" s="54"/>
      <c r="B27" s="35"/>
      <c r="C27" s="44"/>
      <c r="D27" s="44"/>
      <c r="E27" s="46"/>
      <c r="F27" s="45">
        <f>B27-(D27+L27)</f>
        <v>0</v>
      </c>
      <c r="G27" s="46"/>
      <c r="H27" s="449"/>
      <c r="I27" s="464"/>
      <c r="J27" s="35"/>
      <c r="K27" s="24">
        <f>SUM(I27+J27+H27+G27)-F27</f>
        <v>0</v>
      </c>
      <c r="L27" s="46"/>
      <c r="N27" s="12" t="s">
        <v>46</v>
      </c>
      <c r="O27" s="51">
        <f>G28</f>
        <v>0</v>
      </c>
      <c r="Q27" s="13" t="s">
        <v>12</v>
      </c>
      <c r="R27" s="46">
        <f>I57+I42+I36+I28+I22+I15+I8</f>
        <v>0</v>
      </c>
    </row>
    <row r="28" spans="1:18" s="5" customFormat="1" ht="15.75" thickBot="1" x14ac:dyDescent="0.3">
      <c r="A28" s="4" t="s">
        <v>19</v>
      </c>
      <c r="B28" s="47">
        <f>SUM(B25:B27)</f>
        <v>0</v>
      </c>
      <c r="C28" s="47">
        <f t="shared" ref="C28" si="6">SUM(C25:C27)</f>
        <v>0</v>
      </c>
      <c r="D28" s="47">
        <f t="shared" ref="D28:L28" si="7">SUM(D25:D27)</f>
        <v>0</v>
      </c>
      <c r="E28" s="47">
        <f t="shared" si="7"/>
        <v>0</v>
      </c>
      <c r="F28" s="47">
        <f t="shared" si="7"/>
        <v>0</v>
      </c>
      <c r="G28" s="47">
        <f t="shared" si="7"/>
        <v>0</v>
      </c>
      <c r="H28" s="452">
        <f t="shared" si="7"/>
        <v>0</v>
      </c>
      <c r="I28" s="467">
        <f t="shared" si="7"/>
        <v>0</v>
      </c>
      <c r="J28" s="47">
        <f t="shared" si="7"/>
        <v>0</v>
      </c>
      <c r="K28" s="47">
        <f t="shared" si="7"/>
        <v>0</v>
      </c>
      <c r="L28" s="30">
        <f t="shared" si="7"/>
        <v>0</v>
      </c>
      <c r="N28" s="12" t="s">
        <v>47</v>
      </c>
      <c r="O28" s="51">
        <f>G36</f>
        <v>0</v>
      </c>
      <c r="Q28" s="10" t="s">
        <v>10</v>
      </c>
      <c r="R28" s="45">
        <f>O31</f>
        <v>0</v>
      </c>
    </row>
    <row r="29" spans="1:18" s="5" customFormat="1" ht="15.75" thickBot="1" x14ac:dyDescent="0.3">
      <c r="A29" s="9"/>
      <c r="B29" s="60"/>
      <c r="C29" s="61"/>
      <c r="D29" s="61"/>
      <c r="E29" s="61"/>
      <c r="G29" s="8" t="s">
        <v>48</v>
      </c>
      <c r="J29" s="40">
        <f>SUM(G22+H22+I22+J22)+(I28+J28+H28+G28)-C28-E28-C22-E22</f>
        <v>0</v>
      </c>
      <c r="K29" s="9"/>
      <c r="L29" s="3"/>
      <c r="N29" s="12" t="s">
        <v>49</v>
      </c>
      <c r="O29" s="51">
        <f>G42</f>
        <v>0</v>
      </c>
      <c r="Q29" s="457" t="s">
        <v>50</v>
      </c>
      <c r="R29" s="440">
        <f>R24-(R28+R26+R27)</f>
        <v>0</v>
      </c>
    </row>
    <row r="30" spans="1:18" s="5" customFormat="1" ht="15.75" thickBot="1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N30" s="510" t="s">
        <v>5</v>
      </c>
      <c r="O30" s="511">
        <f>G57</f>
        <v>0</v>
      </c>
    </row>
    <row r="31" spans="1:18" s="5" customFormat="1" ht="15.75" thickBot="1" x14ac:dyDescent="0.3">
      <c r="A31" s="9" t="s">
        <v>51</v>
      </c>
      <c r="N31" s="363" t="s">
        <v>17</v>
      </c>
      <c r="O31" s="30">
        <f>SUM(O23:O30)</f>
        <v>0</v>
      </c>
      <c r="Q31" s="4" t="s">
        <v>52</v>
      </c>
      <c r="R31" s="48">
        <f>J8+J15+J22+J28+J36+J42+J50+J57</f>
        <v>0</v>
      </c>
    </row>
    <row r="32" spans="1:18" s="5" customFormat="1" ht="15.75" thickBot="1" x14ac:dyDescent="0.3">
      <c r="A32" s="4" t="s">
        <v>47</v>
      </c>
      <c r="B32" s="6" t="s">
        <v>6</v>
      </c>
      <c r="C32" s="94" t="s">
        <v>4</v>
      </c>
      <c r="D32" s="94" t="s">
        <v>7</v>
      </c>
      <c r="E32" s="94" t="s">
        <v>8</v>
      </c>
      <c r="F32" s="6" t="s">
        <v>9</v>
      </c>
      <c r="G32" s="6" t="s">
        <v>10</v>
      </c>
      <c r="H32" s="447" t="s">
        <v>11</v>
      </c>
      <c r="I32" s="94" t="s">
        <v>12</v>
      </c>
      <c r="J32" s="6" t="s">
        <v>13</v>
      </c>
      <c r="K32" s="336" t="s">
        <v>14</v>
      </c>
      <c r="L32" s="6" t="s">
        <v>15</v>
      </c>
    </row>
    <row r="33" spans="1:18" s="5" customFormat="1" ht="15.75" thickBot="1" x14ac:dyDescent="0.3">
      <c r="A33" s="54"/>
      <c r="B33" s="35"/>
      <c r="C33" s="44"/>
      <c r="D33" s="44"/>
      <c r="E33" s="46"/>
      <c r="F33" s="45">
        <f>B33-(D33+L33)</f>
        <v>0</v>
      </c>
      <c r="G33" s="46"/>
      <c r="H33" s="449"/>
      <c r="I33" s="464"/>
      <c r="J33" s="35"/>
      <c r="K33" s="32">
        <f>SUM(I33+J33+H33+G33)-F33</f>
        <v>0</v>
      </c>
      <c r="L33" s="46"/>
      <c r="Q33" s="4" t="s">
        <v>53</v>
      </c>
      <c r="R33" s="420"/>
    </row>
    <row r="34" spans="1:18" s="5" customFormat="1" ht="14.25" x14ac:dyDescent="0.2">
      <c r="A34" s="54"/>
      <c r="B34" s="35"/>
      <c r="C34" s="44"/>
      <c r="D34" s="44"/>
      <c r="E34" s="46"/>
      <c r="F34" s="45">
        <f>B34-(D34+L34)</f>
        <v>0</v>
      </c>
      <c r="G34" s="46"/>
      <c r="H34" s="449"/>
      <c r="I34" s="464"/>
      <c r="J34" s="35"/>
      <c r="K34" s="36">
        <f>SUM(I34+J34+H34+G34)-F34</f>
        <v>0</v>
      </c>
      <c r="L34" s="46"/>
    </row>
    <row r="35" spans="1:18" s="5" customFormat="1" ht="15" thickBot="1" x14ac:dyDescent="0.25">
      <c r="A35" s="54"/>
      <c r="B35" s="35"/>
      <c r="C35" s="44"/>
      <c r="D35" s="44"/>
      <c r="E35" s="46"/>
      <c r="F35" s="45">
        <f>B35-(D35+L35)</f>
        <v>0</v>
      </c>
      <c r="G35" s="46"/>
      <c r="H35" s="449"/>
      <c r="I35" s="464"/>
      <c r="J35" s="35"/>
      <c r="K35" s="338">
        <f>SUM(I35+J35+H35+G35)-F35</f>
        <v>0</v>
      </c>
      <c r="L35" s="46"/>
      <c r="M35" s="61"/>
    </row>
    <row r="36" spans="1:18" s="5" customFormat="1" ht="15.75" thickBot="1" x14ac:dyDescent="0.3">
      <c r="A36" s="4" t="s">
        <v>19</v>
      </c>
      <c r="B36" s="47">
        <f>SUM(B33:B35)</f>
        <v>0</v>
      </c>
      <c r="C36" s="47">
        <f t="shared" ref="C36" si="8">SUM(C33:C35)</f>
        <v>0</v>
      </c>
      <c r="D36" s="47">
        <f t="shared" ref="D36:L36" si="9">SUM(D33:D35)</f>
        <v>0</v>
      </c>
      <c r="E36" s="47">
        <f t="shared" si="9"/>
        <v>0</v>
      </c>
      <c r="F36" s="47">
        <f t="shared" si="9"/>
        <v>0</v>
      </c>
      <c r="G36" s="47">
        <f t="shared" si="9"/>
        <v>0</v>
      </c>
      <c r="H36" s="452">
        <f t="shared" si="9"/>
        <v>0</v>
      </c>
      <c r="I36" s="467">
        <f t="shared" si="9"/>
        <v>0</v>
      </c>
      <c r="J36" s="47">
        <f t="shared" si="9"/>
        <v>0</v>
      </c>
      <c r="K36" s="337">
        <f t="shared" si="9"/>
        <v>0</v>
      </c>
      <c r="L36" s="30">
        <f t="shared" si="9"/>
        <v>0</v>
      </c>
      <c r="Q36" s="743" t="s">
        <v>54</v>
      </c>
      <c r="R36" s="744"/>
    </row>
    <row r="37" spans="1:18" s="5" customFormat="1" ht="15" thickBot="1" x14ac:dyDescent="0.25">
      <c r="A37" s="3"/>
      <c r="B37" s="331"/>
      <c r="C37" s="331"/>
      <c r="D37" s="331"/>
      <c r="E37" s="331"/>
      <c r="F37" s="61"/>
      <c r="G37" s="331"/>
      <c r="H37" s="331"/>
      <c r="I37" s="331"/>
      <c r="J37" s="331"/>
      <c r="K37" s="61"/>
      <c r="L37" s="331"/>
      <c r="Q37" s="512" t="s">
        <v>55</v>
      </c>
      <c r="R37" s="506"/>
    </row>
    <row r="38" spans="1:18" s="5" customFormat="1" ht="15.75" thickBot="1" x14ac:dyDescent="0.3">
      <c r="A38" s="4" t="s">
        <v>49</v>
      </c>
      <c r="B38" s="6" t="s">
        <v>6</v>
      </c>
      <c r="C38" s="94" t="s">
        <v>4</v>
      </c>
      <c r="D38" s="94" t="s">
        <v>7</v>
      </c>
      <c r="E38" s="94" t="s">
        <v>8</v>
      </c>
      <c r="F38" s="6" t="s">
        <v>9</v>
      </c>
      <c r="G38" s="6" t="s">
        <v>10</v>
      </c>
      <c r="H38" s="447" t="s">
        <v>11</v>
      </c>
      <c r="I38" s="94" t="s">
        <v>12</v>
      </c>
      <c r="J38" s="6" t="s">
        <v>13</v>
      </c>
      <c r="K38" s="7" t="s">
        <v>14</v>
      </c>
      <c r="L38" s="6" t="s">
        <v>15</v>
      </c>
      <c r="Q38" s="513" t="s">
        <v>56</v>
      </c>
      <c r="R38" s="507"/>
    </row>
    <row r="39" spans="1:18" s="5" customFormat="1" ht="15.75" thickBot="1" x14ac:dyDescent="0.3">
      <c r="A39" s="54"/>
      <c r="B39" s="35"/>
      <c r="C39" s="44"/>
      <c r="D39" s="44"/>
      <c r="E39" s="46"/>
      <c r="F39" s="45">
        <f>B39-(D39+L39)</f>
        <v>0</v>
      </c>
      <c r="G39" s="46"/>
      <c r="H39" s="449"/>
      <c r="I39" s="464"/>
      <c r="J39" s="35"/>
      <c r="K39" s="24">
        <f>SUM(I39+J39+H39+G39)-F39</f>
        <v>0</v>
      </c>
      <c r="L39" s="46"/>
      <c r="Q39" s="6" t="s">
        <v>17</v>
      </c>
      <c r="R39" s="505">
        <f>SUM(R37:R38)</f>
        <v>0</v>
      </c>
    </row>
    <row r="40" spans="1:18" s="5" customFormat="1" ht="14.25" x14ac:dyDescent="0.2">
      <c r="A40" s="54"/>
      <c r="B40" s="35"/>
      <c r="C40" s="44"/>
      <c r="D40" s="44"/>
      <c r="E40" s="46"/>
      <c r="F40" s="45">
        <f>B40-(D40+L40)</f>
        <v>0</v>
      </c>
      <c r="G40" s="46"/>
      <c r="H40" s="449"/>
      <c r="I40" s="464"/>
      <c r="J40" s="35"/>
      <c r="K40" s="24">
        <f>SUM(I40+J40+H40+G40)-F40</f>
        <v>0</v>
      </c>
      <c r="L40" s="46"/>
    </row>
    <row r="41" spans="1:18" s="5" customFormat="1" ht="15" thickBot="1" x14ac:dyDescent="0.25">
      <c r="A41" s="54"/>
      <c r="B41" s="35"/>
      <c r="C41" s="44"/>
      <c r="D41" s="44"/>
      <c r="E41" s="46"/>
      <c r="F41" s="45">
        <f>B41-(D41+L41)</f>
        <v>0</v>
      </c>
      <c r="G41" s="46"/>
      <c r="H41" s="449"/>
      <c r="I41" s="464"/>
      <c r="J41" s="35"/>
      <c r="K41" s="24">
        <f>SUM(I41+J41+H41+G41)-F41</f>
        <v>0</v>
      </c>
      <c r="L41" s="46"/>
    </row>
    <row r="42" spans="1:18" s="5" customFormat="1" ht="15.75" thickBot="1" x14ac:dyDescent="0.3">
      <c r="A42" s="4" t="s">
        <v>19</v>
      </c>
      <c r="B42" s="47">
        <f>SUM(B39:B41)</f>
        <v>0</v>
      </c>
      <c r="C42" s="47">
        <f t="shared" ref="C42" si="10">SUM(C39:C41)</f>
        <v>0</v>
      </c>
      <c r="D42" s="47">
        <f t="shared" ref="D42:L42" si="11">SUM(D39:D41)</f>
        <v>0</v>
      </c>
      <c r="E42" s="47">
        <f t="shared" si="11"/>
        <v>0</v>
      </c>
      <c r="F42" s="47">
        <f t="shared" si="11"/>
        <v>0</v>
      </c>
      <c r="G42" s="47">
        <f t="shared" si="11"/>
        <v>0</v>
      </c>
      <c r="H42" s="452">
        <f t="shared" si="11"/>
        <v>0</v>
      </c>
      <c r="I42" s="467">
        <f t="shared" si="11"/>
        <v>0</v>
      </c>
      <c r="J42" s="47">
        <f t="shared" si="11"/>
        <v>0</v>
      </c>
      <c r="K42" s="47">
        <f t="shared" si="11"/>
        <v>0</v>
      </c>
      <c r="L42" s="30">
        <f t="shared" si="11"/>
        <v>0</v>
      </c>
    </row>
    <row r="43" spans="1:18" s="5" customFormat="1" ht="15.75" thickBot="1" x14ac:dyDescent="0.3">
      <c r="A43" s="9"/>
      <c r="B43" s="60"/>
      <c r="C43" s="61"/>
      <c r="D43" s="61"/>
      <c r="E43" s="61"/>
      <c r="G43" s="8" t="s">
        <v>57</v>
      </c>
      <c r="J43" s="40">
        <f>SUM(G36+H36+I36+J36)+(I42+J42+H42+G42)-C36-C42-E36-E42</f>
        <v>0</v>
      </c>
      <c r="K43" s="9"/>
      <c r="L43" s="3"/>
      <c r="M43" s="61"/>
    </row>
    <row r="44" spans="1:18" s="5" customFormat="1" ht="14.25" x14ac:dyDescent="0.2"/>
    <row r="45" spans="1:18" s="5" customFormat="1" ht="15.75" hidden="1" thickBot="1" x14ac:dyDescent="0.3">
      <c r="A45" s="478" t="s">
        <v>58</v>
      </c>
      <c r="B45" s="447" t="s">
        <v>6</v>
      </c>
      <c r="C45" s="454" t="s">
        <v>7</v>
      </c>
      <c r="D45" s="473" t="s">
        <v>7</v>
      </c>
      <c r="E45" s="473" t="s">
        <v>8</v>
      </c>
      <c r="F45" s="447" t="s">
        <v>9</v>
      </c>
      <c r="G45" s="447" t="s">
        <v>10</v>
      </c>
      <c r="H45" s="447" t="s">
        <v>11</v>
      </c>
      <c r="I45" s="473" t="s">
        <v>12</v>
      </c>
      <c r="J45" s="447" t="s">
        <v>13</v>
      </c>
      <c r="K45" s="479" t="s">
        <v>14</v>
      </c>
      <c r="L45" s="447" t="s">
        <v>15</v>
      </c>
    </row>
    <row r="46" spans="1:18" s="5" customFormat="1" ht="14.25" hidden="1" x14ac:dyDescent="0.2">
      <c r="A46" s="480"/>
      <c r="B46" s="481"/>
      <c r="C46" s="455"/>
      <c r="D46" s="482"/>
      <c r="E46" s="483"/>
      <c r="F46" s="449">
        <f>B46-(D46+L46)</f>
        <v>0</v>
      </c>
      <c r="G46" s="483"/>
      <c r="H46" s="449"/>
      <c r="I46" s="474"/>
      <c r="J46" s="481"/>
      <c r="K46" s="484">
        <f>SUM(I46+J46+H46+G46)-F46</f>
        <v>0</v>
      </c>
      <c r="L46" s="483"/>
    </row>
    <row r="47" spans="1:18" s="5" customFormat="1" ht="14.25" hidden="1" x14ac:dyDescent="0.2">
      <c r="A47" s="480"/>
      <c r="B47" s="481"/>
      <c r="C47" s="455"/>
      <c r="D47" s="482"/>
      <c r="E47" s="483"/>
      <c r="F47" s="449">
        <f>B47-(D47+L47)</f>
        <v>0</v>
      </c>
      <c r="G47" s="483"/>
      <c r="H47" s="449"/>
      <c r="I47" s="474"/>
      <c r="J47" s="481"/>
      <c r="K47" s="485">
        <f>SUM(I47+J47+H47+G47)-F47</f>
        <v>0</v>
      </c>
      <c r="L47" s="483"/>
    </row>
    <row r="48" spans="1:18" s="5" customFormat="1" ht="14.25" hidden="1" x14ac:dyDescent="0.2">
      <c r="A48" s="480"/>
      <c r="B48" s="481"/>
      <c r="C48" s="455"/>
      <c r="D48" s="482"/>
      <c r="E48" s="483"/>
      <c r="F48" s="449">
        <f>B48-(D48+L48)</f>
        <v>0</v>
      </c>
      <c r="G48" s="483"/>
      <c r="H48" s="449"/>
      <c r="I48" s="474"/>
      <c r="J48" s="481"/>
      <c r="K48" s="485">
        <f>SUM(I48+J48+H48+G48)-F48</f>
        <v>0</v>
      </c>
      <c r="L48" s="483"/>
    </row>
    <row r="49" spans="1:12" s="5" customFormat="1" ht="15" hidden="1" thickBot="1" x14ac:dyDescent="0.25">
      <c r="A49" s="480"/>
      <c r="B49" s="481"/>
      <c r="C49" s="455"/>
      <c r="D49" s="482"/>
      <c r="E49" s="483"/>
      <c r="F49" s="449">
        <f>B49-(D49+L49)</f>
        <v>0</v>
      </c>
      <c r="G49" s="483"/>
      <c r="H49" s="449"/>
      <c r="I49" s="474"/>
      <c r="J49" s="481"/>
      <c r="K49" s="485">
        <f>SUM(I49+J49+H49+G49)-F49</f>
        <v>0</v>
      </c>
      <c r="L49" s="483"/>
    </row>
    <row r="50" spans="1:12" s="5" customFormat="1" ht="15.75" hidden="1" thickBot="1" x14ac:dyDescent="0.3">
      <c r="A50" s="478" t="s">
        <v>19</v>
      </c>
      <c r="B50" s="452">
        <f t="shared" ref="B50:L50" si="12">SUM(B46:B49)</f>
        <v>0</v>
      </c>
      <c r="C50" s="450">
        <f t="shared" ref="C50" si="13">SUM(C46:C49)</f>
        <v>0</v>
      </c>
      <c r="D50" s="450">
        <f t="shared" si="12"/>
        <v>0</v>
      </c>
      <c r="E50" s="450">
        <f t="shared" si="12"/>
        <v>0</v>
      </c>
      <c r="F50" s="453">
        <f t="shared" si="12"/>
        <v>0</v>
      </c>
      <c r="G50" s="450">
        <f t="shared" si="12"/>
        <v>0</v>
      </c>
      <c r="H50" s="453">
        <f t="shared" si="12"/>
        <v>0</v>
      </c>
      <c r="I50" s="450">
        <f>SUM(I46:I49)</f>
        <v>0</v>
      </c>
      <c r="J50" s="450">
        <f t="shared" si="12"/>
        <v>0</v>
      </c>
      <c r="K50" s="450">
        <f t="shared" si="12"/>
        <v>0</v>
      </c>
      <c r="L50" s="59">
        <f t="shared" si="12"/>
        <v>0</v>
      </c>
    </row>
    <row r="51" spans="1:12" s="5" customFormat="1" ht="15.75" hidden="1" thickBot="1" x14ac:dyDescent="0.3">
      <c r="A51" s="486"/>
      <c r="B51" s="487"/>
      <c r="C51" s="488"/>
      <c r="D51" s="488"/>
      <c r="E51" s="488"/>
      <c r="F51" s="489"/>
      <c r="G51" s="490" t="s">
        <v>59</v>
      </c>
      <c r="H51" s="489"/>
      <c r="I51" s="489"/>
      <c r="J51" s="491">
        <f>SUM(I50+J50+H50+G50)-E50</f>
        <v>0</v>
      </c>
      <c r="K51" s="486"/>
      <c r="L51" s="492"/>
    </row>
    <row r="52" spans="1:12" s="5" customFormat="1" ht="15" hidden="1" thickBot="1" x14ac:dyDescent="0.25">
      <c r="A52" s="489"/>
      <c r="B52" s="489"/>
      <c r="C52" s="489"/>
      <c r="D52" s="489"/>
      <c r="E52" s="489"/>
      <c r="F52" s="489"/>
      <c r="G52" s="489"/>
      <c r="H52" s="489"/>
      <c r="I52" s="489"/>
      <c r="J52" s="489"/>
      <c r="K52" s="489"/>
      <c r="L52" s="489"/>
    </row>
    <row r="53" spans="1:12" s="5" customFormat="1" ht="15.75" hidden="1" thickBot="1" x14ac:dyDescent="0.3">
      <c r="A53" s="478" t="s">
        <v>20</v>
      </c>
      <c r="B53" s="447" t="s">
        <v>6</v>
      </c>
      <c r="C53" s="473" t="s">
        <v>4</v>
      </c>
      <c r="D53" s="473" t="s">
        <v>7</v>
      </c>
      <c r="E53" s="473" t="s">
        <v>8</v>
      </c>
      <c r="F53" s="447" t="s">
        <v>9</v>
      </c>
      <c r="G53" s="447" t="s">
        <v>10</v>
      </c>
      <c r="H53" s="447" t="s">
        <v>11</v>
      </c>
      <c r="I53" s="473" t="s">
        <v>12</v>
      </c>
      <c r="J53" s="447" t="s">
        <v>13</v>
      </c>
      <c r="K53" s="479" t="s">
        <v>14</v>
      </c>
      <c r="L53" s="447" t="s">
        <v>15</v>
      </c>
    </row>
    <row r="54" spans="1:12" s="5" customFormat="1" ht="14.25" hidden="1" x14ac:dyDescent="0.2">
      <c r="A54" s="480"/>
      <c r="B54" s="481"/>
      <c r="C54" s="482"/>
      <c r="D54" s="482"/>
      <c r="E54" s="483"/>
      <c r="F54" s="449">
        <f>B54-(D54+L54)</f>
        <v>0</v>
      </c>
      <c r="G54" s="483"/>
      <c r="H54" s="449"/>
      <c r="I54" s="474"/>
      <c r="J54" s="481"/>
      <c r="K54" s="485">
        <f>SUM(I54+J54+H54+G54)-F54</f>
        <v>0</v>
      </c>
      <c r="L54" s="483"/>
    </row>
    <row r="55" spans="1:12" s="5" customFormat="1" ht="14.25" hidden="1" x14ac:dyDescent="0.2">
      <c r="A55" s="480"/>
      <c r="B55" s="481"/>
      <c r="C55" s="482"/>
      <c r="D55" s="482"/>
      <c r="E55" s="483"/>
      <c r="F55" s="449">
        <f>B55-(D55+L55)</f>
        <v>0</v>
      </c>
      <c r="G55" s="483"/>
      <c r="H55" s="449"/>
      <c r="I55" s="474"/>
      <c r="J55" s="481"/>
      <c r="K55" s="485">
        <f>SUM(I55+J55+H55+G55)-F55</f>
        <v>0</v>
      </c>
      <c r="L55" s="483"/>
    </row>
    <row r="56" spans="1:12" ht="15" hidden="1" thickBot="1" x14ac:dyDescent="0.25">
      <c r="A56" s="480"/>
      <c r="B56" s="481"/>
      <c r="C56" s="482"/>
      <c r="D56" s="482"/>
      <c r="E56" s="483"/>
      <c r="F56" s="449">
        <f>B56-(D56+L56)</f>
        <v>0</v>
      </c>
      <c r="G56" s="483"/>
      <c r="H56" s="449"/>
      <c r="I56" s="474"/>
      <c r="J56" s="481"/>
      <c r="K56" s="485">
        <f>SUM(I56+J56+H56+G56)-F56</f>
        <v>0</v>
      </c>
      <c r="L56" s="483"/>
    </row>
    <row r="57" spans="1:12" ht="15.75" hidden="1" thickBot="1" x14ac:dyDescent="0.3">
      <c r="A57" s="478" t="s">
        <v>19</v>
      </c>
      <c r="B57" s="452">
        <f>SUM(B54:B56)</f>
        <v>0</v>
      </c>
      <c r="C57" s="452">
        <f t="shared" ref="C57:L57" si="14">SUM(C54:C56)</f>
        <v>0</v>
      </c>
      <c r="D57" s="452">
        <f t="shared" si="14"/>
        <v>0</v>
      </c>
      <c r="E57" s="452">
        <f>SUM(E54:E56)</f>
        <v>0</v>
      </c>
      <c r="F57" s="452">
        <f t="shared" si="14"/>
        <v>0</v>
      </c>
      <c r="G57" s="452">
        <f t="shared" si="14"/>
        <v>0</v>
      </c>
      <c r="H57" s="452">
        <f t="shared" si="14"/>
        <v>0</v>
      </c>
      <c r="I57" s="452">
        <f t="shared" si="14"/>
        <v>0</v>
      </c>
      <c r="J57" s="452">
        <f t="shared" si="14"/>
        <v>0</v>
      </c>
      <c r="K57" s="452">
        <f t="shared" si="14"/>
        <v>0</v>
      </c>
      <c r="L57" s="450">
        <f t="shared" si="14"/>
        <v>0</v>
      </c>
    </row>
    <row r="58" spans="1:12" ht="15.75" hidden="1" thickBot="1" x14ac:dyDescent="0.3">
      <c r="A58" s="486"/>
      <c r="B58" s="487"/>
      <c r="C58" s="488"/>
      <c r="D58" s="488"/>
      <c r="E58" s="488"/>
      <c r="F58" s="489"/>
      <c r="G58" s="490" t="s">
        <v>60</v>
      </c>
      <c r="H58" s="489"/>
      <c r="I58" s="493"/>
      <c r="J58" s="491">
        <f>SUM(I57+J57+H57+G57)-C57-E57</f>
        <v>0</v>
      </c>
      <c r="K58" s="486"/>
      <c r="L58" s="492"/>
    </row>
    <row r="59" spans="1:12" ht="14.25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14.25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14.25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14.25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14.25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</sheetData>
  <sheetProtection algorithmName="SHA-512" hashValue="+E9ZdxB86XQ0oPa4AnbgzvNXA+PTJyF/1uZpceSou5j+2OJk7RZrP0QljArcCYZ243Mw6JjPkMWYtqgd6dk68A==" saltValue="oc77fx1RJQ+FtF/bjp9HHQ==" spinCount="100000" sheet="1" objects="1" scenarios="1"/>
  <mergeCells count="3">
    <mergeCell ref="A1:L1"/>
    <mergeCell ref="A2:L2"/>
    <mergeCell ref="Q36:R36"/>
  </mergeCells>
  <phoneticPr fontId="39" type="noConversion"/>
  <printOptions horizontalCentered="1" verticalCentered="1"/>
  <pageMargins left="0.74803149606299213" right="0.74803149606299213" top="0.15748031496062992" bottom="0.15748031496062992" header="0.15748031496062992" footer="0.15748031496062992"/>
  <pageSetup paperSize="9" scale="61" orientation="landscape" r:id="rId1"/>
  <headerFooter alignWithMargins="0"/>
  <colBreaks count="1" manualBreakCount="1">
    <brk id="12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Button 1">
              <controlPr defaultSize="0" print="0" autoFill="0" autoPict="0">
                <anchor moveWithCells="1" sizeWithCells="1">
                  <from>
                    <xdr:col>14</xdr:col>
                    <xdr:colOff>0</xdr:colOff>
                    <xdr:row>42</xdr:row>
                    <xdr:rowOff>0</xdr:rowOff>
                  </from>
                  <to>
                    <xdr:col>14</xdr:col>
                    <xdr:colOff>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5" name="Button 2">
              <controlPr defaultSize="0" print="0" autoFill="0" autoPict="0">
                <anchor moveWithCells="1" sizeWithCells="1">
                  <from>
                    <xdr:col>14</xdr:col>
                    <xdr:colOff>0</xdr:colOff>
                    <xdr:row>42</xdr:row>
                    <xdr:rowOff>0</xdr:rowOff>
                  </from>
                  <to>
                    <xdr:col>14</xdr:col>
                    <xdr:colOff>0</xdr:colOff>
                    <xdr:row>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6" name="Button 3">
              <controlPr defaultSize="0" print="0" autoFill="0" autoPict="0">
                <anchor moveWithCells="1" sizeWithCells="1">
                  <from>
                    <xdr:col>13</xdr:col>
                    <xdr:colOff>0</xdr:colOff>
                    <xdr:row>40</xdr:row>
                    <xdr:rowOff>0</xdr:rowOff>
                  </from>
                  <to>
                    <xdr:col>13</xdr:col>
                    <xdr:colOff>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7" name="Button 4">
              <controlPr defaultSize="0" print="0" autoFill="0" autoPict="0">
                <anchor moveWithCells="1" sizeWithCells="1">
                  <from>
                    <xdr:col>13</xdr:col>
                    <xdr:colOff>0</xdr:colOff>
                    <xdr:row>40</xdr:row>
                    <xdr:rowOff>0</xdr:rowOff>
                  </from>
                  <to>
                    <xdr:col>13</xdr:col>
                    <xdr:colOff>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9" r:id="rId8" name="Button 5">
              <controlPr defaultSize="0" print="0" autoFill="0" autoPict="0">
                <anchor moveWithCells="1" sizeWithCells="1">
                  <from>
                    <xdr:col>14</xdr:col>
                    <xdr:colOff>0</xdr:colOff>
                    <xdr:row>42</xdr:row>
                    <xdr:rowOff>0</xdr:rowOff>
                  </from>
                  <to>
                    <xdr:col>14</xdr:col>
                    <xdr:colOff>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0" r:id="rId9" name="Button 6">
              <controlPr defaultSize="0" print="0" autoFill="0" autoPict="0">
                <anchor moveWithCells="1" sizeWithCells="1">
                  <from>
                    <xdr:col>14</xdr:col>
                    <xdr:colOff>0</xdr:colOff>
                    <xdr:row>42</xdr:row>
                    <xdr:rowOff>0</xdr:rowOff>
                  </from>
                  <to>
                    <xdr:col>14</xdr:col>
                    <xdr:colOff>0</xdr:colOff>
                    <xdr:row>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1" r:id="rId10" name="Button 7">
              <controlPr defaultSize="0" print="0" autoFill="0" autoPict="0">
                <anchor moveWithCells="1" sizeWithCells="1">
                  <from>
                    <xdr:col>13</xdr:col>
                    <xdr:colOff>0</xdr:colOff>
                    <xdr:row>40</xdr:row>
                    <xdr:rowOff>0</xdr:rowOff>
                  </from>
                  <to>
                    <xdr:col>13</xdr:col>
                    <xdr:colOff>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2" r:id="rId11" name="Button 8">
              <controlPr defaultSize="0" print="0" autoFill="0" autoPict="0">
                <anchor moveWithCells="1" sizeWithCells="1">
                  <from>
                    <xdr:col>13</xdr:col>
                    <xdr:colOff>0</xdr:colOff>
                    <xdr:row>40</xdr:row>
                    <xdr:rowOff>0</xdr:rowOff>
                  </from>
                  <to>
                    <xdr:col>13</xdr:col>
                    <xdr:colOff>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3" r:id="rId12" name="Button 9">
              <controlPr defaultSize="0" print="0" autoFill="0" autoPict="0">
                <anchor moveWithCells="1" sizeWithCells="1">
                  <from>
                    <xdr:col>14</xdr:col>
                    <xdr:colOff>0</xdr:colOff>
                    <xdr:row>35</xdr:row>
                    <xdr:rowOff>0</xdr:rowOff>
                  </from>
                  <to>
                    <xdr:col>14</xdr:col>
                    <xdr:colOff>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4" r:id="rId13" name="Button 10">
              <controlPr defaultSize="0" print="0" autoFill="0" autoPict="0">
                <anchor moveWithCells="1" sizeWithCells="1">
                  <from>
                    <xdr:col>14</xdr:col>
                    <xdr:colOff>0</xdr:colOff>
                    <xdr:row>35</xdr:row>
                    <xdr:rowOff>0</xdr:rowOff>
                  </from>
                  <to>
                    <xdr:col>14</xdr:col>
                    <xdr:colOff>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5" r:id="rId14" name="Button 11">
              <controlPr defaultSize="0" print="0" autoFill="0" autoPict="0">
                <anchor moveWithCells="1" sizeWithCells="1">
                  <from>
                    <xdr:col>14</xdr:col>
                    <xdr:colOff>0</xdr:colOff>
                    <xdr:row>35</xdr:row>
                    <xdr:rowOff>0</xdr:rowOff>
                  </from>
                  <to>
                    <xdr:col>14</xdr:col>
                    <xdr:colOff>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6" r:id="rId15" name="Button 12">
              <controlPr defaultSize="0" print="0" autoFill="0" autoPict="0">
                <anchor moveWithCells="1" sizeWithCells="1">
                  <from>
                    <xdr:col>14</xdr:col>
                    <xdr:colOff>0</xdr:colOff>
                    <xdr:row>35</xdr:row>
                    <xdr:rowOff>0</xdr:rowOff>
                  </from>
                  <to>
                    <xdr:col>14</xdr:col>
                    <xdr:colOff>0</xdr:colOff>
                    <xdr:row>35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4"/>
  <dimension ref="A1:P108"/>
  <sheetViews>
    <sheetView topLeftCell="A4" zoomScale="70" zoomScaleNormal="70" workbookViewId="0">
      <selection activeCell="A9" sqref="A9:A15"/>
    </sheetView>
  </sheetViews>
  <sheetFormatPr defaultColWidth="9.140625" defaultRowHeight="16.5" x14ac:dyDescent="0.3"/>
  <cols>
    <col min="1" max="1" width="36.85546875" style="193" customWidth="1"/>
    <col min="2" max="4" width="19.28515625" style="193" customWidth="1"/>
    <col min="5" max="5" width="2.7109375" style="193" customWidth="1"/>
    <col min="6" max="10" width="19.140625" style="193" customWidth="1"/>
    <col min="11" max="16384" width="9.140625" style="193"/>
  </cols>
  <sheetData>
    <row r="1" spans="1:10" ht="27" customHeight="1" x14ac:dyDescent="0.35">
      <c r="A1" s="625" t="s">
        <v>61</v>
      </c>
      <c r="B1" s="626"/>
      <c r="C1" s="626"/>
      <c r="D1" s="626"/>
    </row>
    <row r="2" spans="1:10" ht="27" customHeight="1" x14ac:dyDescent="0.3">
      <c r="A2" s="627">
        <f>Sat!L3</f>
        <v>46060</v>
      </c>
      <c r="B2" s="628"/>
      <c r="C2" s="628"/>
      <c r="D2" s="628"/>
    </row>
    <row r="3" spans="1:10" ht="27" customHeight="1" x14ac:dyDescent="0.3">
      <c r="A3" s="629"/>
      <c r="B3" s="630"/>
      <c r="C3" s="630"/>
      <c r="D3" s="630"/>
    </row>
    <row r="4" spans="1:10" ht="17.25" thickBot="1" x14ac:dyDescent="0.35">
      <c r="A4" s="194"/>
      <c r="B4" s="195"/>
      <c r="C4" s="196"/>
      <c r="D4" s="196"/>
    </row>
    <row r="5" spans="1:10" ht="24" customHeight="1" thickBot="1" x14ac:dyDescent="0.35">
      <c r="A5" s="431" t="s">
        <v>63</v>
      </c>
      <c r="B5" s="426" t="s">
        <v>171</v>
      </c>
      <c r="C5" s="197" t="s">
        <v>161</v>
      </c>
      <c r="F5" s="342" t="s">
        <v>65</v>
      </c>
      <c r="G5" s="475">
        <f>SUM(G6:G9)</f>
        <v>0</v>
      </c>
    </row>
    <row r="6" spans="1:10" ht="24" customHeight="1" x14ac:dyDescent="0.3">
      <c r="A6" s="432" t="s">
        <v>66</v>
      </c>
      <c r="B6" s="427">
        <f>Takings!B29</f>
        <v>0</v>
      </c>
      <c r="C6" s="199">
        <f>SUM(Takings!B24:B29)</f>
        <v>0</v>
      </c>
      <c r="F6" s="340" t="s">
        <v>70</v>
      </c>
      <c r="G6" s="341">
        <f>Takings!C10</f>
        <v>0</v>
      </c>
    </row>
    <row r="7" spans="1:10" ht="24" customHeight="1" x14ac:dyDescent="0.3">
      <c r="A7" s="355" t="s">
        <v>68</v>
      </c>
      <c r="B7" s="428">
        <f>Takings!C29</f>
        <v>0</v>
      </c>
      <c r="C7" s="201">
        <f>SUM(Takings!C24:C29)</f>
        <v>0</v>
      </c>
      <c r="F7" s="340" t="s">
        <v>329</v>
      </c>
      <c r="G7" s="341">
        <f>Takings!D10</f>
        <v>0</v>
      </c>
    </row>
    <row r="8" spans="1:10" ht="24" customHeight="1" x14ac:dyDescent="0.3">
      <c r="A8" s="355" t="s">
        <v>69</v>
      </c>
      <c r="B8" s="428">
        <f>Takings!I10</f>
        <v>0</v>
      </c>
      <c r="C8" s="201">
        <f>SUM(Takings!I5:I10)</f>
        <v>0</v>
      </c>
      <c r="F8" s="200" t="s">
        <v>67</v>
      </c>
      <c r="G8" s="201">
        <f>Takings!E10</f>
        <v>0</v>
      </c>
    </row>
    <row r="9" spans="1:10" ht="24" customHeight="1" thickBot="1" x14ac:dyDescent="0.35">
      <c r="A9" s="846" t="s">
        <v>71</v>
      </c>
      <c r="B9" s="429"/>
      <c r="C9" s="302"/>
      <c r="F9" s="202" t="s">
        <v>330</v>
      </c>
      <c r="G9" s="203">
        <f>Takings!F10</f>
        <v>0</v>
      </c>
    </row>
    <row r="10" spans="1:10" ht="24" customHeight="1" x14ac:dyDescent="0.3">
      <c r="A10" s="846" t="s">
        <v>72</v>
      </c>
      <c r="B10" s="429"/>
      <c r="C10" s="302"/>
    </row>
    <row r="11" spans="1:10" ht="24" customHeight="1" x14ac:dyDescent="0.3">
      <c r="A11" s="846" t="s">
        <v>73</v>
      </c>
      <c r="B11" s="429"/>
      <c r="C11" s="302"/>
    </row>
    <row r="12" spans="1:10" ht="24" customHeight="1" x14ac:dyDescent="0.3">
      <c r="A12" s="846" t="s">
        <v>339</v>
      </c>
      <c r="B12" s="429"/>
      <c r="C12" s="302"/>
    </row>
    <row r="13" spans="1:10" ht="24" customHeight="1" thickBot="1" x14ac:dyDescent="0.35">
      <c r="A13" s="846" t="s">
        <v>337</v>
      </c>
      <c r="B13" s="429"/>
      <c r="C13" s="302"/>
    </row>
    <row r="14" spans="1:10" ht="24" customHeight="1" thickBot="1" x14ac:dyDescent="0.35">
      <c r="A14" s="846" t="s">
        <v>338</v>
      </c>
      <c r="B14" s="429"/>
      <c r="C14" s="302"/>
      <c r="F14" s="722" t="s">
        <v>74</v>
      </c>
      <c r="G14" s="723"/>
      <c r="H14" s="723"/>
      <c r="I14" s="723"/>
      <c r="J14" s="724"/>
    </row>
    <row r="15" spans="1:10" ht="24" customHeight="1" thickBot="1" x14ac:dyDescent="0.35">
      <c r="A15" s="846" t="s">
        <v>75</v>
      </c>
      <c r="B15" s="429"/>
      <c r="C15" s="302"/>
      <c r="F15" s="578" t="s">
        <v>76</v>
      </c>
      <c r="G15" s="585"/>
      <c r="H15" s="578" t="s">
        <v>77</v>
      </c>
      <c r="I15" s="725"/>
      <c r="J15" s="726"/>
    </row>
    <row r="16" spans="1:10" ht="24" customHeight="1" x14ac:dyDescent="0.3">
      <c r="A16" s="355" t="s">
        <v>65</v>
      </c>
      <c r="B16" s="428">
        <f>Takings!G46</f>
        <v>0</v>
      </c>
      <c r="C16" s="201">
        <f>SUM(Takings!B46:G46)</f>
        <v>0</v>
      </c>
      <c r="F16" s="727" t="s">
        <v>78</v>
      </c>
      <c r="G16" s="735"/>
      <c r="H16" s="730"/>
      <c r="I16" s="730"/>
      <c r="J16" s="731"/>
    </row>
    <row r="17" spans="1:10" ht="24" customHeight="1" thickBot="1" x14ac:dyDescent="0.35">
      <c r="A17" s="355" t="s">
        <v>79</v>
      </c>
      <c r="B17" s="428">
        <f>Takings!G49</f>
        <v>0</v>
      </c>
      <c r="C17" s="201">
        <f>SUM(Takings!B49:G49)</f>
        <v>0</v>
      </c>
      <c r="F17" s="728"/>
      <c r="G17" s="732"/>
      <c r="H17" s="733"/>
      <c r="I17" s="733"/>
      <c r="J17" s="734"/>
    </row>
    <row r="18" spans="1:10" ht="24" customHeight="1" x14ac:dyDescent="0.3">
      <c r="A18" s="514" t="s">
        <v>80</v>
      </c>
      <c r="B18" s="516">
        <f>Takings!H10</f>
        <v>0</v>
      </c>
      <c r="C18" s="517">
        <f>SUM(Takings!H5:H10)</f>
        <v>0</v>
      </c>
      <c r="F18" s="727" t="s">
        <v>81</v>
      </c>
      <c r="G18" s="735"/>
      <c r="H18" s="730"/>
      <c r="I18" s="730"/>
      <c r="J18" s="731"/>
    </row>
    <row r="19" spans="1:10" ht="24" customHeight="1" thickBot="1" x14ac:dyDescent="0.35">
      <c r="A19" s="433" t="s">
        <v>22</v>
      </c>
      <c r="B19" s="430">
        <f>Takings!L42</f>
        <v>0</v>
      </c>
      <c r="C19" s="203">
        <f>SUM(Takings!L37:L42)</f>
        <v>0</v>
      </c>
      <c r="F19" s="728"/>
      <c r="G19" s="732"/>
      <c r="H19" s="733"/>
      <c r="I19" s="733"/>
      <c r="J19" s="734"/>
    </row>
    <row r="20" spans="1:10" ht="39" customHeight="1" thickBot="1" x14ac:dyDescent="0.35">
      <c r="F20" s="736" t="s">
        <v>331</v>
      </c>
      <c r="G20" s="737"/>
      <c r="H20" s="737"/>
      <c r="I20" s="737"/>
      <c r="J20" s="738"/>
    </row>
    <row r="21" spans="1:10" ht="24" customHeight="1" thickBot="1" x14ac:dyDescent="0.35">
      <c r="A21" s="204"/>
      <c r="B21" s="205" t="s">
        <v>82</v>
      </c>
      <c r="C21" s="206" t="s">
        <v>83</v>
      </c>
      <c r="D21" s="207" t="s">
        <v>84</v>
      </c>
      <c r="F21" s="578" t="s">
        <v>79</v>
      </c>
      <c r="G21" s="583">
        <f>Sat!C22+Sat!C28</f>
        <v>0</v>
      </c>
      <c r="H21" s="578" t="s">
        <v>85</v>
      </c>
      <c r="I21" s="668">
        <f>Sat!J29</f>
        <v>0</v>
      </c>
      <c r="J21" s="669"/>
    </row>
    <row r="22" spans="1:10" ht="24" customHeight="1" thickBot="1" x14ac:dyDescent="0.35">
      <c r="A22" s="210" t="s">
        <v>86</v>
      </c>
      <c r="B22" s="211"/>
      <c r="C22" s="212"/>
      <c r="D22" s="213"/>
      <c r="F22" s="657" t="s">
        <v>87</v>
      </c>
      <c r="G22" s="659"/>
      <c r="H22" s="660"/>
      <c r="I22" s="660"/>
      <c r="J22" s="661"/>
    </row>
    <row r="23" spans="1:10" ht="24" customHeight="1" thickBot="1" x14ac:dyDescent="0.35">
      <c r="A23" s="230"/>
      <c r="B23" s="642" t="s">
        <v>88</v>
      </c>
      <c r="C23" s="643"/>
      <c r="D23" s="644"/>
      <c r="F23" s="658"/>
      <c r="G23" s="662"/>
      <c r="H23" s="663"/>
      <c r="I23" s="663"/>
      <c r="J23" s="664"/>
    </row>
    <row r="24" spans="1:10" ht="24" customHeight="1" x14ac:dyDescent="0.3">
      <c r="A24" s="220" t="s">
        <v>89</v>
      </c>
      <c r="B24" s="319">
        <f>G75</f>
        <v>0</v>
      </c>
      <c r="C24" s="320" t="s">
        <v>90</v>
      </c>
      <c r="D24" s="324"/>
      <c r="F24" s="657" t="s">
        <v>91</v>
      </c>
      <c r="G24" s="670"/>
      <c r="H24" s="671"/>
      <c r="I24" s="671"/>
      <c r="J24" s="672"/>
    </row>
    <row r="25" spans="1:10" ht="24" customHeight="1" thickBot="1" x14ac:dyDescent="0.35">
      <c r="A25" s="220" t="s">
        <v>92</v>
      </c>
      <c r="B25" s="631"/>
      <c r="C25" s="632"/>
      <c r="D25" s="633"/>
      <c r="F25" s="658"/>
      <c r="G25" s="673"/>
      <c r="H25" s="674"/>
      <c r="I25" s="674"/>
      <c r="J25" s="675"/>
    </row>
    <row r="26" spans="1:10" ht="24" customHeight="1" x14ac:dyDescent="0.3">
      <c r="A26" s="220" t="s">
        <v>93</v>
      </c>
      <c r="B26" s="631"/>
      <c r="C26" s="632"/>
      <c r="D26" s="633"/>
      <c r="F26" s="657" t="s">
        <v>94</v>
      </c>
      <c r="G26" s="659"/>
      <c r="H26" s="660"/>
      <c r="I26" s="660"/>
      <c r="J26" s="661"/>
    </row>
    <row r="27" spans="1:10" ht="24" customHeight="1" thickBot="1" x14ac:dyDescent="0.35">
      <c r="A27" s="225" t="s">
        <v>95</v>
      </c>
      <c r="B27" s="634"/>
      <c r="C27" s="634"/>
      <c r="D27" s="635"/>
      <c r="F27" s="658"/>
      <c r="G27" s="662"/>
      <c r="H27" s="663"/>
      <c r="I27" s="663"/>
      <c r="J27" s="664"/>
    </row>
    <row r="28" spans="1:10" ht="24" customHeight="1" thickBot="1" x14ac:dyDescent="0.35">
      <c r="A28" s="219" t="s">
        <v>96</v>
      </c>
      <c r="B28" s="321">
        <f>B6-B24</f>
        <v>0</v>
      </c>
      <c r="C28" s="322" t="s">
        <v>90</v>
      </c>
      <c r="D28" s="323"/>
      <c r="F28" s="665" t="s">
        <v>329</v>
      </c>
      <c r="G28" s="666"/>
      <c r="H28" s="666"/>
      <c r="I28" s="666"/>
      <c r="J28" s="667"/>
    </row>
    <row r="29" spans="1:10" ht="24" customHeight="1" thickBot="1" x14ac:dyDescent="0.35">
      <c r="A29" s="220" t="s">
        <v>97</v>
      </c>
      <c r="B29" s="631"/>
      <c r="C29" s="632"/>
      <c r="D29" s="633"/>
      <c r="F29" s="578" t="s">
        <v>79</v>
      </c>
      <c r="G29" s="583">
        <f>Sat!C8</f>
        <v>0</v>
      </c>
      <c r="H29" s="578" t="s">
        <v>85</v>
      </c>
      <c r="I29" s="668">
        <f>Sat!J9</f>
        <v>0</v>
      </c>
      <c r="J29" s="669"/>
    </row>
    <row r="30" spans="1:10" ht="24" customHeight="1" x14ac:dyDescent="0.3">
      <c r="A30" s="220" t="s">
        <v>93</v>
      </c>
      <c r="B30" s="631"/>
      <c r="C30" s="632"/>
      <c r="D30" s="633"/>
      <c r="F30" s="657" t="s">
        <v>87</v>
      </c>
      <c r="G30" s="659"/>
      <c r="H30" s="660"/>
      <c r="I30" s="660"/>
      <c r="J30" s="661"/>
    </row>
    <row r="31" spans="1:10" ht="24" customHeight="1" thickBot="1" x14ac:dyDescent="0.35">
      <c r="A31" s="225" t="s">
        <v>95</v>
      </c>
      <c r="B31" s="634"/>
      <c r="C31" s="679"/>
      <c r="D31" s="680"/>
      <c r="F31" s="658"/>
      <c r="G31" s="662"/>
      <c r="H31" s="663"/>
      <c r="I31" s="663"/>
      <c r="J31" s="664"/>
    </row>
    <row r="32" spans="1:10" ht="24" customHeight="1" x14ac:dyDescent="0.3">
      <c r="A32" s="220"/>
      <c r="B32" s="698" t="s">
        <v>332</v>
      </c>
      <c r="C32" s="699"/>
      <c r="D32" s="700"/>
      <c r="F32" s="657" t="s">
        <v>91</v>
      </c>
      <c r="G32" s="659"/>
      <c r="H32" s="660"/>
      <c r="I32" s="660"/>
      <c r="J32" s="661"/>
    </row>
    <row r="33" spans="1:16" ht="24" customHeight="1" thickBot="1" x14ac:dyDescent="0.35">
      <c r="A33" s="220" t="s">
        <v>333</v>
      </c>
      <c r="B33" s="631"/>
      <c r="C33" s="701"/>
      <c r="D33" s="702"/>
      <c r="F33" s="658"/>
      <c r="G33" s="662"/>
      <c r="H33" s="663"/>
      <c r="I33" s="663"/>
      <c r="J33" s="664"/>
    </row>
    <row r="34" spans="1:16" ht="24" customHeight="1" x14ac:dyDescent="0.3">
      <c r="A34" s="220" t="s">
        <v>334</v>
      </c>
      <c r="B34" s="631"/>
      <c r="C34" s="701"/>
      <c r="D34" s="702"/>
      <c r="F34" s="657" t="s">
        <v>94</v>
      </c>
      <c r="G34" s="670"/>
      <c r="H34" s="671"/>
      <c r="I34" s="671"/>
      <c r="J34" s="672"/>
    </row>
    <row r="35" spans="1:16" ht="24" customHeight="1" thickBot="1" x14ac:dyDescent="0.35">
      <c r="A35" s="220" t="s">
        <v>335</v>
      </c>
      <c r="B35" s="631"/>
      <c r="C35" s="701"/>
      <c r="D35" s="702"/>
      <c r="F35" s="658"/>
      <c r="G35" s="673"/>
      <c r="H35" s="674"/>
      <c r="I35" s="674"/>
      <c r="J35" s="675"/>
    </row>
    <row r="36" spans="1:16" ht="24" customHeight="1" thickBot="1" x14ac:dyDescent="0.35">
      <c r="A36" s="220" t="s">
        <v>98</v>
      </c>
      <c r="B36" s="631"/>
      <c r="C36" s="701"/>
      <c r="D36" s="702"/>
      <c r="F36" s="676" t="s">
        <v>99</v>
      </c>
      <c r="G36" s="677"/>
      <c r="H36" s="677"/>
      <c r="I36" s="677"/>
      <c r="J36" s="678"/>
    </row>
    <row r="37" spans="1:16" ht="24" customHeight="1" thickBot="1" x14ac:dyDescent="0.35">
      <c r="A37" s="225" t="s">
        <v>336</v>
      </c>
      <c r="B37" s="634"/>
      <c r="C37" s="703"/>
      <c r="D37" s="704"/>
      <c r="F37" s="578" t="s">
        <v>79</v>
      </c>
      <c r="G37" s="583">
        <f>Sat!C15</f>
        <v>0</v>
      </c>
      <c r="H37" s="578" t="s">
        <v>85</v>
      </c>
      <c r="I37" s="668">
        <f>Sat!J16</f>
        <v>0</v>
      </c>
      <c r="J37" s="669"/>
    </row>
    <row r="38" spans="1:16" ht="24" customHeight="1" x14ac:dyDescent="0.3">
      <c r="A38" s="220"/>
      <c r="B38" s="648" t="s">
        <v>100</v>
      </c>
      <c r="C38" s="649"/>
      <c r="D38" s="650"/>
      <c r="F38" s="657" t="s">
        <v>87</v>
      </c>
      <c r="G38" s="659"/>
      <c r="H38" s="660"/>
      <c r="I38" s="660"/>
      <c r="J38" s="661"/>
    </row>
    <row r="39" spans="1:16" ht="24" customHeight="1" thickBot="1" x14ac:dyDescent="0.35">
      <c r="A39" s="220" t="s">
        <v>101</v>
      </c>
      <c r="B39" s="695"/>
      <c r="C39" s="696"/>
      <c r="D39" s="697"/>
      <c r="F39" s="658"/>
      <c r="G39" s="662"/>
      <c r="H39" s="663"/>
      <c r="I39" s="663"/>
      <c r="J39" s="664"/>
    </row>
    <row r="40" spans="1:16" ht="24" customHeight="1" x14ac:dyDescent="0.3">
      <c r="A40" s="220" t="s">
        <v>102</v>
      </c>
      <c r="B40" s="639" t="e">
        <f>Takings!B29/Takings!E29</f>
        <v>#DIV/0!</v>
      </c>
      <c r="C40" s="640"/>
      <c r="D40" s="641"/>
      <c r="F40" s="657" t="s">
        <v>91</v>
      </c>
      <c r="G40" s="659"/>
      <c r="H40" s="660"/>
      <c r="I40" s="660"/>
      <c r="J40" s="661"/>
    </row>
    <row r="41" spans="1:16" ht="24" customHeight="1" thickBot="1" x14ac:dyDescent="0.35">
      <c r="A41" s="220" t="s">
        <v>103</v>
      </c>
      <c r="B41" s="645"/>
      <c r="C41" s="646"/>
      <c r="D41" s="647"/>
      <c r="F41" s="658"/>
      <c r="G41" s="662"/>
      <c r="H41" s="663"/>
      <c r="I41" s="663"/>
      <c r="J41" s="664"/>
      <c r="P41" s="584"/>
    </row>
    <row r="42" spans="1:16" ht="24" customHeight="1" x14ac:dyDescent="0.3">
      <c r="A42" s="230"/>
      <c r="B42" s="642" t="s">
        <v>22</v>
      </c>
      <c r="C42" s="643"/>
      <c r="D42" s="644"/>
      <c r="F42" s="657" t="s">
        <v>94</v>
      </c>
      <c r="G42" s="670"/>
      <c r="H42" s="671"/>
      <c r="I42" s="671"/>
      <c r="J42" s="672"/>
    </row>
    <row r="43" spans="1:16" ht="24" customHeight="1" thickBot="1" x14ac:dyDescent="0.35">
      <c r="A43" s="220" t="s">
        <v>104</v>
      </c>
      <c r="B43" s="636"/>
      <c r="C43" s="637"/>
      <c r="D43" s="638"/>
      <c r="F43" s="658"/>
      <c r="G43" s="673"/>
      <c r="H43" s="674"/>
      <c r="I43" s="674"/>
      <c r="J43" s="675"/>
    </row>
    <row r="44" spans="1:16" ht="24" customHeight="1" thickBot="1" x14ac:dyDescent="0.35">
      <c r="A44" s="220" t="s">
        <v>105</v>
      </c>
      <c r="B44" s="693"/>
      <c r="C44" s="636"/>
      <c r="D44" s="694"/>
      <c r="F44" s="739" t="s">
        <v>106</v>
      </c>
      <c r="G44" s="740"/>
      <c r="H44" s="740"/>
      <c r="I44" s="740"/>
      <c r="J44" s="741"/>
    </row>
    <row r="45" spans="1:16" ht="24" customHeight="1" thickBot="1" x14ac:dyDescent="0.35">
      <c r="A45" s="220" t="s">
        <v>107</v>
      </c>
      <c r="B45" s="414"/>
      <c r="C45" s="415"/>
      <c r="D45" s="231"/>
      <c r="F45" s="578" t="s">
        <v>79</v>
      </c>
      <c r="G45" s="583">
        <f>Sat!C36+Sat!C42</f>
        <v>0</v>
      </c>
      <c r="H45" s="578" t="s">
        <v>85</v>
      </c>
      <c r="I45" s="668">
        <f>Sat!J43</f>
        <v>0</v>
      </c>
      <c r="J45" s="669"/>
    </row>
    <row r="46" spans="1:16" ht="24" customHeight="1" thickBot="1" x14ac:dyDescent="0.35">
      <c r="A46" s="582"/>
      <c r="B46" s="681"/>
      <c r="C46" s="682"/>
      <c r="D46" s="683"/>
      <c r="F46" s="657" t="s">
        <v>87</v>
      </c>
      <c r="G46" s="659"/>
      <c r="H46" s="660"/>
      <c r="I46" s="660"/>
      <c r="J46" s="661"/>
    </row>
    <row r="47" spans="1:16" ht="24" customHeight="1" thickBot="1" x14ac:dyDescent="0.35">
      <c r="A47" s="581"/>
      <c r="B47" s="690" t="s">
        <v>108</v>
      </c>
      <c r="C47" s="691"/>
      <c r="D47" s="692"/>
      <c r="F47" s="658"/>
      <c r="G47" s="662"/>
      <c r="H47" s="663"/>
      <c r="I47" s="663"/>
      <c r="J47" s="664"/>
    </row>
    <row r="48" spans="1:16" ht="24" customHeight="1" x14ac:dyDescent="0.3">
      <c r="A48" s="579" t="s">
        <v>104</v>
      </c>
      <c r="B48" s="684"/>
      <c r="C48" s="685"/>
      <c r="D48" s="686"/>
      <c r="F48" s="657" t="s">
        <v>91</v>
      </c>
      <c r="G48" s="659"/>
      <c r="H48" s="660"/>
      <c r="I48" s="660"/>
      <c r="J48" s="661"/>
    </row>
    <row r="49" spans="1:10" ht="24" customHeight="1" thickBot="1" x14ac:dyDescent="0.35">
      <c r="A49" s="580" t="s">
        <v>105</v>
      </c>
      <c r="B49" s="687"/>
      <c r="C49" s="688"/>
      <c r="D49" s="689"/>
      <c r="F49" s="658"/>
      <c r="G49" s="662"/>
      <c r="H49" s="663"/>
      <c r="I49" s="663"/>
      <c r="J49" s="664"/>
    </row>
    <row r="50" spans="1:10" ht="24" customHeight="1" x14ac:dyDescent="0.3">
      <c r="A50" s="230"/>
      <c r="B50" s="705" t="s">
        <v>109</v>
      </c>
      <c r="C50" s="643"/>
      <c r="D50" s="644"/>
      <c r="F50" s="657" t="s">
        <v>94</v>
      </c>
      <c r="G50" s="659"/>
      <c r="H50" s="660"/>
      <c r="I50" s="660"/>
      <c r="J50" s="661"/>
    </row>
    <row r="51" spans="1:10" ht="24" customHeight="1" thickBot="1" x14ac:dyDescent="0.35">
      <c r="A51" s="232" t="s">
        <v>110</v>
      </c>
      <c r="B51" s="693"/>
      <c r="C51" s="637"/>
      <c r="D51" s="638"/>
      <c r="F51" s="658"/>
      <c r="G51" s="662"/>
      <c r="H51" s="663"/>
      <c r="I51" s="663"/>
      <c r="J51" s="664"/>
    </row>
    <row r="52" spans="1:10" ht="24" customHeight="1" x14ac:dyDescent="0.3">
      <c r="A52" s="220" t="s">
        <v>111</v>
      </c>
      <c r="B52" s="251" t="s">
        <v>112</v>
      </c>
      <c r="C52" s="253" t="s">
        <v>113</v>
      </c>
      <c r="D52" s="252"/>
    </row>
    <row r="53" spans="1:10" ht="24" customHeight="1" thickBot="1" x14ac:dyDescent="0.35">
      <c r="A53" s="220" t="s">
        <v>114</v>
      </c>
      <c r="B53" s="693" t="s">
        <v>112</v>
      </c>
      <c r="C53" s="637"/>
      <c r="D53" s="638"/>
    </row>
    <row r="54" spans="1:10" ht="24" customHeight="1" thickBot="1" x14ac:dyDescent="0.35">
      <c r="A54" s="230"/>
      <c r="B54" s="705" t="s">
        <v>115</v>
      </c>
      <c r="C54" s="643"/>
      <c r="D54" s="644"/>
      <c r="F54" s="198" t="s">
        <v>116</v>
      </c>
    </row>
    <row r="55" spans="1:10" ht="24" customHeight="1" x14ac:dyDescent="0.3">
      <c r="A55" s="220" t="s">
        <v>117</v>
      </c>
      <c r="B55" s="693"/>
      <c r="C55" s="637"/>
      <c r="D55" s="638"/>
      <c r="F55" s="208" t="s">
        <v>118</v>
      </c>
      <c r="G55" s="651" t="s">
        <v>119</v>
      </c>
      <c r="H55" s="652"/>
      <c r="I55" s="653"/>
      <c r="J55" s="209" t="s">
        <v>120</v>
      </c>
    </row>
    <row r="56" spans="1:10" ht="24" customHeight="1" x14ac:dyDescent="0.3">
      <c r="A56" s="220" t="s">
        <v>111</v>
      </c>
      <c r="B56" s="693"/>
      <c r="C56" s="637"/>
      <c r="D56" s="638"/>
      <c r="F56" s="343"/>
      <c r="G56" s="654"/>
      <c r="H56" s="655"/>
      <c r="I56" s="656"/>
      <c r="J56" s="215"/>
    </row>
    <row r="57" spans="1:10" ht="24" customHeight="1" thickBot="1" x14ac:dyDescent="0.35">
      <c r="A57" s="220" t="s">
        <v>114</v>
      </c>
      <c r="B57" s="693"/>
      <c r="C57" s="637"/>
      <c r="D57" s="638"/>
      <c r="F57" s="343"/>
      <c r="G57" s="654"/>
      <c r="H57" s="655"/>
      <c r="I57" s="656"/>
      <c r="J57" s="215"/>
    </row>
    <row r="58" spans="1:10" ht="24" customHeight="1" x14ac:dyDescent="0.3">
      <c r="A58" s="238"/>
      <c r="B58" s="620" t="s">
        <v>121</v>
      </c>
      <c r="C58" s="620"/>
      <c r="D58" s="621"/>
      <c r="F58" s="343"/>
      <c r="G58" s="654"/>
      <c r="H58" s="655"/>
      <c r="I58" s="656"/>
      <c r="J58" s="215"/>
    </row>
    <row r="59" spans="1:10" ht="24" customHeight="1" x14ac:dyDescent="0.3">
      <c r="A59" s="239" t="s">
        <v>122</v>
      </c>
      <c r="B59" s="622"/>
      <c r="C59" s="623"/>
      <c r="D59" s="624"/>
      <c r="F59" s="343"/>
      <c r="G59" s="654"/>
      <c r="H59" s="655"/>
      <c r="I59" s="656"/>
      <c r="J59" s="215"/>
    </row>
    <row r="60" spans="1:10" ht="24" customHeight="1" thickBot="1" x14ac:dyDescent="0.35">
      <c r="A60" s="239" t="s">
        <v>123</v>
      </c>
      <c r="B60" s="614"/>
      <c r="C60" s="710"/>
      <c r="D60" s="711"/>
      <c r="E60" s="237"/>
      <c r="F60" s="343"/>
      <c r="G60" s="654"/>
      <c r="H60" s="655"/>
      <c r="I60" s="656"/>
      <c r="J60" s="215"/>
    </row>
    <row r="61" spans="1:10" ht="24" customHeight="1" x14ac:dyDescent="0.3">
      <c r="A61" s="238"/>
      <c r="B61" s="713" t="s">
        <v>124</v>
      </c>
      <c r="C61" s="620"/>
      <c r="D61" s="621"/>
      <c r="E61" s="237"/>
      <c r="F61" s="214"/>
      <c r="G61" s="654"/>
      <c r="H61" s="655"/>
      <c r="I61" s="656"/>
      <c r="J61" s="215"/>
    </row>
    <row r="62" spans="1:10" ht="24" customHeight="1" x14ac:dyDescent="0.3">
      <c r="A62" s="239" t="s">
        <v>125</v>
      </c>
      <c r="B62" s="614"/>
      <c r="C62" s="615"/>
      <c r="D62" s="616"/>
      <c r="E62" s="237"/>
      <c r="F62" s="214"/>
      <c r="G62" s="654"/>
      <c r="H62" s="655"/>
      <c r="I62" s="656"/>
      <c r="J62" s="215"/>
    </row>
    <row r="63" spans="1:10" ht="24" customHeight="1" thickBot="1" x14ac:dyDescent="0.35">
      <c r="A63" s="240"/>
      <c r="B63" s="617"/>
      <c r="C63" s="618"/>
      <c r="D63" s="619"/>
      <c r="E63" s="237"/>
      <c r="F63" s="216"/>
      <c r="G63" s="707"/>
      <c r="H63" s="708"/>
      <c r="I63" s="709"/>
      <c r="J63" s="217"/>
    </row>
    <row r="64" spans="1:10" ht="24" customHeight="1" thickBot="1" x14ac:dyDescent="0.35">
      <c r="A64" s="241" t="s">
        <v>126</v>
      </c>
      <c r="B64" s="706"/>
      <c r="C64" s="714"/>
      <c r="D64" s="715"/>
      <c r="E64" s="237"/>
    </row>
    <row r="65" spans="1:10" ht="24" customHeight="1" x14ac:dyDescent="0.3">
      <c r="A65" s="242"/>
      <c r="B65" s="717" t="s">
        <v>127</v>
      </c>
      <c r="C65" s="718"/>
      <c r="D65" s="719"/>
      <c r="E65" s="237"/>
      <c r="F65" s="218" t="s">
        <v>88</v>
      </c>
      <c r="G65" s="218"/>
      <c r="H65" s="198" t="s">
        <v>128</v>
      </c>
      <c r="I65" s="218" t="s">
        <v>129</v>
      </c>
      <c r="J65" s="218" t="s">
        <v>130</v>
      </c>
    </row>
    <row r="66" spans="1:10" ht="24" customHeight="1" thickBot="1" x14ac:dyDescent="0.35">
      <c r="A66" s="434" t="s">
        <v>131</v>
      </c>
      <c r="B66" s="712"/>
      <c r="C66" s="720"/>
      <c r="D66" s="721"/>
      <c r="E66" s="237"/>
      <c r="F66" s="92" t="s">
        <v>130</v>
      </c>
      <c r="G66" s="92" t="s">
        <v>40</v>
      </c>
      <c r="H66" s="92" t="s">
        <v>40</v>
      </c>
      <c r="I66" s="92" t="s">
        <v>132</v>
      </c>
      <c r="J66" s="92" t="s">
        <v>133</v>
      </c>
    </row>
    <row r="67" spans="1:10" ht="24" customHeight="1" x14ac:dyDescent="0.3">
      <c r="A67" s="339" t="s">
        <v>134</v>
      </c>
      <c r="B67" s="712"/>
      <c r="C67" s="720"/>
      <c r="D67" s="721"/>
      <c r="E67" s="237"/>
      <c r="F67" s="110" t="s">
        <v>135</v>
      </c>
      <c r="G67" s="221"/>
      <c r="H67" s="222"/>
      <c r="I67" s="223"/>
      <c r="J67" s="224">
        <v>23</v>
      </c>
    </row>
    <row r="68" spans="1:10" ht="24" customHeight="1" x14ac:dyDescent="0.3">
      <c r="A68" s="243" t="s">
        <v>136</v>
      </c>
      <c r="B68" s="712"/>
      <c r="C68" s="710"/>
      <c r="D68" s="711"/>
      <c r="F68" s="118" t="s">
        <v>137</v>
      </c>
      <c r="G68" s="226"/>
      <c r="H68" s="227">
        <f t="shared" ref="H68:H73" si="0">G68-G67</f>
        <v>0</v>
      </c>
      <c r="I68" s="228"/>
      <c r="J68" s="229">
        <v>23</v>
      </c>
    </row>
    <row r="69" spans="1:10" ht="24" customHeight="1" thickBot="1" x14ac:dyDescent="0.35">
      <c r="A69" s="243" t="s">
        <v>138</v>
      </c>
      <c r="B69" s="716"/>
      <c r="C69" s="682"/>
      <c r="D69" s="683"/>
      <c r="F69" s="118" t="s">
        <v>139</v>
      </c>
      <c r="G69" s="226"/>
      <c r="H69" s="227">
        <f t="shared" si="0"/>
        <v>0</v>
      </c>
      <c r="I69" s="228"/>
      <c r="J69" s="229">
        <v>23</v>
      </c>
    </row>
    <row r="70" spans="1:10" ht="24" customHeight="1" x14ac:dyDescent="0.3">
      <c r="A70" s="244"/>
      <c r="B70" s="713" t="s">
        <v>140</v>
      </c>
      <c r="C70" s="620"/>
      <c r="D70" s="621"/>
      <c r="F70" s="118" t="s">
        <v>141</v>
      </c>
      <c r="G70" s="226"/>
      <c r="H70" s="227">
        <f t="shared" si="0"/>
        <v>0</v>
      </c>
      <c r="I70" s="228"/>
      <c r="J70" s="229">
        <v>23</v>
      </c>
    </row>
    <row r="71" spans="1:10" ht="24" customHeight="1" x14ac:dyDescent="0.3">
      <c r="A71" s="243" t="s">
        <v>142</v>
      </c>
      <c r="B71" s="614"/>
      <c r="C71" s="710"/>
      <c r="D71" s="711"/>
      <c r="F71" s="118" t="s">
        <v>143</v>
      </c>
      <c r="G71" s="226"/>
      <c r="H71" s="227">
        <f t="shared" si="0"/>
        <v>0</v>
      </c>
      <c r="I71" s="228"/>
      <c r="J71" s="229">
        <v>23</v>
      </c>
    </row>
    <row r="72" spans="1:10" ht="24" customHeight="1" thickBot="1" x14ac:dyDescent="0.35">
      <c r="A72" s="245" t="s">
        <v>144</v>
      </c>
      <c r="B72" s="706"/>
      <c r="C72" s="682"/>
      <c r="D72" s="683"/>
      <c r="F72" s="118" t="s">
        <v>145</v>
      </c>
      <c r="G72" s="226"/>
      <c r="H72" s="227">
        <f t="shared" si="0"/>
        <v>0</v>
      </c>
      <c r="I72" s="228"/>
      <c r="J72" s="229">
        <v>23</v>
      </c>
    </row>
    <row r="73" spans="1:10" ht="24" customHeight="1" x14ac:dyDescent="0.3">
      <c r="F73" s="118" t="s">
        <v>146</v>
      </c>
      <c r="G73" s="226"/>
      <c r="H73" s="227">
        <f t="shared" si="0"/>
        <v>0</v>
      </c>
      <c r="I73" s="228"/>
      <c r="J73" s="229">
        <v>23</v>
      </c>
    </row>
    <row r="74" spans="1:10" ht="24" customHeight="1" x14ac:dyDescent="0.3">
      <c r="F74" s="118" t="s">
        <v>147</v>
      </c>
      <c r="G74" s="226"/>
      <c r="H74" s="227">
        <f t="shared" ref="H74:H85" si="1">G74-G73</f>
        <v>0</v>
      </c>
      <c r="I74" s="228"/>
      <c r="J74" s="229">
        <v>23</v>
      </c>
    </row>
    <row r="75" spans="1:10" ht="24" customHeight="1" x14ac:dyDescent="0.3">
      <c r="F75" s="118" t="s">
        <v>148</v>
      </c>
      <c r="G75" s="226"/>
      <c r="H75" s="227">
        <f t="shared" si="1"/>
        <v>0</v>
      </c>
      <c r="I75" s="228"/>
      <c r="J75" s="229">
        <v>23</v>
      </c>
    </row>
    <row r="76" spans="1:10" ht="24" customHeight="1" x14ac:dyDescent="0.3">
      <c r="F76" s="118" t="s">
        <v>149</v>
      </c>
      <c r="G76" s="226"/>
      <c r="H76" s="227">
        <f t="shared" si="1"/>
        <v>0</v>
      </c>
      <c r="I76" s="228"/>
      <c r="J76" s="229">
        <v>23</v>
      </c>
    </row>
    <row r="77" spans="1:10" ht="24" customHeight="1" x14ac:dyDescent="0.3">
      <c r="F77" s="118" t="s">
        <v>150</v>
      </c>
      <c r="G77" s="226"/>
      <c r="H77" s="227">
        <f t="shared" si="1"/>
        <v>0</v>
      </c>
      <c r="I77" s="228"/>
      <c r="J77" s="229">
        <v>23</v>
      </c>
    </row>
    <row r="78" spans="1:10" ht="24" customHeight="1" x14ac:dyDescent="0.3">
      <c r="F78" s="118" t="s">
        <v>151</v>
      </c>
      <c r="G78" s="226"/>
      <c r="H78" s="227">
        <f t="shared" si="1"/>
        <v>0</v>
      </c>
      <c r="I78" s="228"/>
      <c r="J78" s="229">
        <v>23</v>
      </c>
    </row>
    <row r="79" spans="1:10" ht="24" customHeight="1" x14ac:dyDescent="0.3">
      <c r="F79" s="118" t="s">
        <v>152</v>
      </c>
      <c r="G79" s="226"/>
      <c r="H79" s="227">
        <f t="shared" si="1"/>
        <v>0</v>
      </c>
      <c r="I79" s="228"/>
      <c r="J79" s="229">
        <v>23</v>
      </c>
    </row>
    <row r="80" spans="1:10" ht="24" customHeight="1" x14ac:dyDescent="0.3">
      <c r="F80" s="118" t="s">
        <v>153</v>
      </c>
      <c r="G80" s="226"/>
      <c r="H80" s="227">
        <f t="shared" si="1"/>
        <v>0</v>
      </c>
      <c r="I80" s="228"/>
      <c r="J80" s="229">
        <v>23</v>
      </c>
    </row>
    <row r="81" spans="6:10" ht="24" customHeight="1" x14ac:dyDescent="0.3">
      <c r="F81" s="118" t="s">
        <v>154</v>
      </c>
      <c r="G81" s="226"/>
      <c r="H81" s="227">
        <f t="shared" si="1"/>
        <v>0</v>
      </c>
      <c r="I81" s="228"/>
      <c r="J81" s="229">
        <v>23</v>
      </c>
    </row>
    <row r="82" spans="6:10" ht="24" customHeight="1" x14ac:dyDescent="0.3">
      <c r="F82" s="118" t="s">
        <v>155</v>
      </c>
      <c r="G82" s="226"/>
      <c r="H82" s="227">
        <f t="shared" si="1"/>
        <v>0</v>
      </c>
      <c r="I82" s="228"/>
      <c r="J82" s="229">
        <v>23</v>
      </c>
    </row>
    <row r="83" spans="6:10" ht="24" customHeight="1" x14ac:dyDescent="0.3">
      <c r="F83" s="118" t="s">
        <v>156</v>
      </c>
      <c r="G83" s="226"/>
      <c r="H83" s="227">
        <f t="shared" si="1"/>
        <v>0</v>
      </c>
      <c r="I83" s="228"/>
      <c r="J83" s="229">
        <v>23</v>
      </c>
    </row>
    <row r="84" spans="6:10" ht="24" customHeight="1" x14ac:dyDescent="0.3">
      <c r="F84" s="118" t="s">
        <v>157</v>
      </c>
      <c r="G84" s="226"/>
      <c r="H84" s="227">
        <f t="shared" si="1"/>
        <v>0</v>
      </c>
      <c r="I84" s="228"/>
      <c r="J84" s="229">
        <v>23</v>
      </c>
    </row>
    <row r="85" spans="6:10" ht="24" customHeight="1" thickBot="1" x14ac:dyDescent="0.35">
      <c r="F85" s="127" t="s">
        <v>158</v>
      </c>
      <c r="G85" s="233"/>
      <c r="H85" s="234">
        <f t="shared" si="1"/>
        <v>0</v>
      </c>
      <c r="I85" s="235"/>
      <c r="J85" s="236">
        <v>23</v>
      </c>
    </row>
    <row r="86" spans="6:10" ht="24" customHeight="1" x14ac:dyDescent="0.3"/>
    <row r="87" spans="6:10" ht="24" customHeight="1" x14ac:dyDescent="0.3"/>
    <row r="88" spans="6:10" ht="24" customHeight="1" x14ac:dyDescent="0.3"/>
    <row r="89" spans="6:10" ht="24" customHeight="1" x14ac:dyDescent="0.3"/>
    <row r="90" spans="6:10" ht="24" customHeight="1" x14ac:dyDescent="0.3"/>
    <row r="91" spans="6:10" ht="24" customHeight="1" x14ac:dyDescent="0.3"/>
    <row r="92" spans="6:10" ht="24" customHeight="1" x14ac:dyDescent="0.3"/>
    <row r="93" spans="6:10" ht="24" customHeight="1" x14ac:dyDescent="0.3"/>
    <row r="94" spans="6:10" ht="24" customHeight="1" x14ac:dyDescent="0.3"/>
    <row r="95" spans="6:10" ht="24" customHeight="1" x14ac:dyDescent="0.3"/>
    <row r="96" spans="6:10" ht="24" customHeight="1" x14ac:dyDescent="0.3"/>
    <row r="97" spans="1:4" ht="24" customHeight="1" x14ac:dyDescent="0.3"/>
    <row r="98" spans="1:4" ht="24" customHeight="1" x14ac:dyDescent="0.3"/>
    <row r="99" spans="1:4" ht="24" customHeight="1" x14ac:dyDescent="0.3"/>
    <row r="100" spans="1:4" ht="24" customHeight="1" x14ac:dyDescent="0.3"/>
    <row r="101" spans="1:4" ht="24" customHeight="1" x14ac:dyDescent="0.3"/>
    <row r="102" spans="1:4" ht="24" customHeight="1" x14ac:dyDescent="0.3">
      <c r="A102" s="237"/>
      <c r="B102" s="237"/>
      <c r="C102" s="237"/>
      <c r="D102" s="237"/>
    </row>
    <row r="103" spans="1:4" ht="24" customHeight="1" x14ac:dyDescent="0.3">
      <c r="A103" s="237"/>
      <c r="B103" s="237"/>
      <c r="C103" s="237"/>
      <c r="D103" s="237"/>
    </row>
    <row r="104" spans="1:4" ht="24" customHeight="1" x14ac:dyDescent="0.3">
      <c r="A104" s="237"/>
      <c r="B104" s="237"/>
      <c r="C104" s="237"/>
      <c r="D104" s="237"/>
    </row>
    <row r="105" spans="1:4" ht="24" customHeight="1" x14ac:dyDescent="0.3">
      <c r="A105" s="237"/>
      <c r="B105" s="237"/>
      <c r="C105" s="237"/>
      <c r="D105" s="237"/>
    </row>
    <row r="106" spans="1:4" ht="24" customHeight="1" x14ac:dyDescent="0.3">
      <c r="A106" s="237"/>
      <c r="B106" s="237"/>
      <c r="C106" s="237"/>
      <c r="D106" s="237"/>
    </row>
    <row r="107" spans="1:4" x14ac:dyDescent="0.3">
      <c r="A107" s="237"/>
      <c r="B107" s="237"/>
      <c r="C107" s="237"/>
      <c r="D107" s="237"/>
    </row>
    <row r="108" spans="1:4" x14ac:dyDescent="0.3">
      <c r="A108" s="237"/>
      <c r="B108" s="237"/>
      <c r="C108" s="237"/>
      <c r="D108" s="237"/>
    </row>
  </sheetData>
  <sheetProtection algorithmName="SHA-512" hashValue="KxVCBvaagO1uu60rnzSpVQMxMSxEsejmAJqVhEzDHHr7IDhPtn6CFLYbVgjebNOABpfQl8zuKPW/jCan3lRt7g==" saltValue="TFZr3KiNWaZJ1GUHFkaHfw==" spinCount="100000" sheet="1" objects="1" scenarios="1"/>
  <protectedRanges>
    <protectedRange sqref="A14:A15" name="Range1"/>
    <protectedRange sqref="A9:A13" name="Range1_1"/>
  </protectedRanges>
  <mergeCells count="95">
    <mergeCell ref="F48:F49"/>
    <mergeCell ref="G48:J49"/>
    <mergeCell ref="F50:F51"/>
    <mergeCell ref="G50:J51"/>
    <mergeCell ref="F42:F43"/>
    <mergeCell ref="G42:J43"/>
    <mergeCell ref="F44:J44"/>
    <mergeCell ref="I45:J45"/>
    <mergeCell ref="F46:F47"/>
    <mergeCell ref="G46:J47"/>
    <mergeCell ref="I37:J37"/>
    <mergeCell ref="F38:F39"/>
    <mergeCell ref="G38:J39"/>
    <mergeCell ref="F40:F41"/>
    <mergeCell ref="G40:J41"/>
    <mergeCell ref="F20:J20"/>
    <mergeCell ref="I21:J21"/>
    <mergeCell ref="F22:F23"/>
    <mergeCell ref="G22:J23"/>
    <mergeCell ref="F24:F25"/>
    <mergeCell ref="G24:J25"/>
    <mergeCell ref="F14:J14"/>
    <mergeCell ref="I15:J15"/>
    <mergeCell ref="F16:F17"/>
    <mergeCell ref="G16:J17"/>
    <mergeCell ref="F18:F19"/>
    <mergeCell ref="G18:J19"/>
    <mergeCell ref="B44:D44"/>
    <mergeCell ref="B51:D51"/>
    <mergeCell ref="B61:D61"/>
    <mergeCell ref="B62:D63"/>
    <mergeCell ref="B72:D72"/>
    <mergeCell ref="B71:D71"/>
    <mergeCell ref="B56:D56"/>
    <mergeCell ref="B65:D65"/>
    <mergeCell ref="B67:D67"/>
    <mergeCell ref="B60:D60"/>
    <mergeCell ref="B69:D69"/>
    <mergeCell ref="B70:D70"/>
    <mergeCell ref="B58:D58"/>
    <mergeCell ref="B59:D59"/>
    <mergeCell ref="B64:D64"/>
    <mergeCell ref="B68:D68"/>
    <mergeCell ref="B57:D57"/>
    <mergeCell ref="B66:D66"/>
    <mergeCell ref="G59:I59"/>
    <mergeCell ref="G60:I60"/>
    <mergeCell ref="G61:I61"/>
    <mergeCell ref="G62:I62"/>
    <mergeCell ref="G63:I63"/>
    <mergeCell ref="B55:D55"/>
    <mergeCell ref="B31:D31"/>
    <mergeCell ref="B46:D46"/>
    <mergeCell ref="B48:D48"/>
    <mergeCell ref="B49:D49"/>
    <mergeCell ref="B47:D47"/>
    <mergeCell ref="B50:D50"/>
    <mergeCell ref="B54:D54"/>
    <mergeCell ref="B53:D53"/>
    <mergeCell ref="B43:D43"/>
    <mergeCell ref="B42:D42"/>
    <mergeCell ref="B38:D38"/>
    <mergeCell ref="B39:D39"/>
    <mergeCell ref="B35:D35"/>
    <mergeCell ref="B36:D36"/>
    <mergeCell ref="B37:D37"/>
    <mergeCell ref="G55:I55"/>
    <mergeCell ref="G56:I56"/>
    <mergeCell ref="B23:D23"/>
    <mergeCell ref="G57:I57"/>
    <mergeCell ref="G58:I58"/>
    <mergeCell ref="F26:F27"/>
    <mergeCell ref="G26:J27"/>
    <mergeCell ref="F28:J28"/>
    <mergeCell ref="I29:J29"/>
    <mergeCell ref="F30:F31"/>
    <mergeCell ref="G30:J31"/>
    <mergeCell ref="F32:F33"/>
    <mergeCell ref="G32:J33"/>
    <mergeCell ref="F34:F35"/>
    <mergeCell ref="G34:J35"/>
    <mergeCell ref="F36:J36"/>
    <mergeCell ref="B41:D41"/>
    <mergeCell ref="B40:D40"/>
    <mergeCell ref="B34:D34"/>
    <mergeCell ref="B33:D33"/>
    <mergeCell ref="A1:D1"/>
    <mergeCell ref="A2:D2"/>
    <mergeCell ref="A3:D3"/>
    <mergeCell ref="B27:D27"/>
    <mergeCell ref="B32:D32"/>
    <mergeCell ref="B26:D26"/>
    <mergeCell ref="B25:D25"/>
    <mergeCell ref="B30:D30"/>
    <mergeCell ref="B29:D29"/>
  </mergeCells>
  <conditionalFormatting sqref="B40:D40">
    <cfRule type="cellIs" dxfId="1" priority="1" operator="lessThan">
      <formula>2.1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7">
    <pageSetUpPr fitToPage="1"/>
  </sheetPr>
  <dimension ref="A1:R63"/>
  <sheetViews>
    <sheetView zoomScale="85" zoomScaleNormal="85" workbookViewId="0">
      <selection activeCell="Q8" sqref="Q8"/>
    </sheetView>
  </sheetViews>
  <sheetFormatPr defaultColWidth="9.140625" defaultRowHeight="12.75" x14ac:dyDescent="0.2"/>
  <cols>
    <col min="1" max="1" width="18.140625" style="1" customWidth="1"/>
    <col min="2" max="2" width="13.7109375" style="1" customWidth="1"/>
    <col min="3" max="5" width="11.28515625" style="1" customWidth="1"/>
    <col min="6" max="7" width="13.7109375" style="1" customWidth="1"/>
    <col min="8" max="8" width="13.7109375" style="1" hidden="1" customWidth="1"/>
    <col min="9" max="9" width="16.85546875" style="1" customWidth="1"/>
    <col min="10" max="10" width="13.7109375" style="1" customWidth="1"/>
    <col min="11" max="11" width="16.28515625" style="1" customWidth="1"/>
    <col min="12" max="12" width="13.7109375" style="1" customWidth="1"/>
    <col min="13" max="13" width="9.28515625" style="1" customWidth="1"/>
    <col min="14" max="14" width="15.140625" style="1" customWidth="1"/>
    <col min="15" max="15" width="14.5703125" style="1" customWidth="1"/>
    <col min="16" max="16" width="4.42578125" style="1" customWidth="1"/>
    <col min="17" max="17" width="17.7109375" style="1" bestFit="1" customWidth="1"/>
    <col min="18" max="18" width="14" style="1" customWidth="1"/>
    <col min="19" max="16384" width="9.140625" style="1"/>
  </cols>
  <sheetData>
    <row r="1" spans="1:18" ht="20.25" x14ac:dyDescent="0.3">
      <c r="A1" s="742" t="s">
        <v>0</v>
      </c>
      <c r="B1" s="742"/>
      <c r="C1" s="742"/>
      <c r="D1" s="742"/>
      <c r="E1" s="742"/>
      <c r="F1" s="742"/>
      <c r="G1" s="742"/>
      <c r="H1" s="742"/>
      <c r="I1" s="742"/>
      <c r="J1" s="742"/>
      <c r="K1" s="742"/>
      <c r="L1" s="742"/>
    </row>
    <row r="2" spans="1:18" ht="20.25" x14ac:dyDescent="0.3">
      <c r="A2" s="742" t="s">
        <v>172</v>
      </c>
      <c r="B2" s="742"/>
      <c r="C2" s="742"/>
      <c r="D2" s="742"/>
      <c r="E2" s="742"/>
      <c r="F2" s="742"/>
      <c r="G2" s="742"/>
      <c r="H2" s="742"/>
      <c r="I2" s="742"/>
      <c r="J2" s="742"/>
      <c r="K2" s="742"/>
      <c r="L2" s="742"/>
    </row>
    <row r="3" spans="1:18" ht="16.5" thickBot="1" x14ac:dyDescent="0.3">
      <c r="K3" s="20" t="s">
        <v>2</v>
      </c>
      <c r="L3" s="21">
        <f>Sat!L3+1</f>
        <v>46061</v>
      </c>
      <c r="N3" s="9" t="s">
        <v>3</v>
      </c>
      <c r="O3" s="5"/>
      <c r="P3" s="5"/>
      <c r="Q3" s="9" t="s">
        <v>4</v>
      </c>
      <c r="R3" s="5"/>
    </row>
    <row r="4" spans="1:18" s="5" customFormat="1" ht="15.75" thickBot="1" x14ac:dyDescent="0.3">
      <c r="A4" s="360" t="s">
        <v>5</v>
      </c>
      <c r="B4" s="361" t="s">
        <v>6</v>
      </c>
      <c r="C4" s="94" t="s">
        <v>4</v>
      </c>
      <c r="D4" s="94" t="s">
        <v>7</v>
      </c>
      <c r="E4" s="94" t="s">
        <v>8</v>
      </c>
      <c r="F4" s="6" t="s">
        <v>9</v>
      </c>
      <c r="G4" s="356" t="s">
        <v>10</v>
      </c>
      <c r="H4" s="447" t="s">
        <v>11</v>
      </c>
      <c r="I4" s="94" t="s">
        <v>12</v>
      </c>
      <c r="J4" s="6" t="s">
        <v>13</v>
      </c>
      <c r="K4" s="7" t="s">
        <v>14</v>
      </c>
      <c r="L4" s="6" t="s">
        <v>15</v>
      </c>
      <c r="N4" s="52" t="s">
        <v>173</v>
      </c>
      <c r="O4" s="41">
        <f>Takings!M45</f>
        <v>0</v>
      </c>
      <c r="P4" s="3"/>
      <c r="Q4" s="52" t="str">
        <f>A4</f>
        <v>BISTRO</v>
      </c>
      <c r="R4" s="32">
        <f>C8</f>
        <v>0</v>
      </c>
    </row>
    <row r="5" spans="1:18" s="5" customFormat="1" ht="15" thickBot="1" x14ac:dyDescent="0.25">
      <c r="A5" s="362"/>
      <c r="B5" s="52"/>
      <c r="C5" s="359"/>
      <c r="D5" s="359"/>
      <c r="E5" s="359"/>
      <c r="F5" s="24">
        <f>B5-(D5+L5)</f>
        <v>0</v>
      </c>
      <c r="G5" s="357"/>
      <c r="H5" s="448"/>
      <c r="I5" s="463"/>
      <c r="J5" s="31"/>
      <c r="K5" s="32">
        <f>SUM(I5+J5+H5+G5)-F5</f>
        <v>0</v>
      </c>
      <c r="L5" s="33"/>
      <c r="N5" s="53"/>
      <c r="O5" s="49"/>
      <c r="P5" s="3"/>
      <c r="Q5" s="53" t="str">
        <f>A11</f>
        <v>SPORTS BAR</v>
      </c>
      <c r="R5" s="24">
        <f>C15</f>
        <v>0</v>
      </c>
    </row>
    <row r="6" spans="1:18" s="5" customFormat="1" ht="15" thickBot="1" x14ac:dyDescent="0.25">
      <c r="A6" s="55"/>
      <c r="B6" s="22"/>
      <c r="C6" s="23"/>
      <c r="D6" s="23"/>
      <c r="E6" s="472"/>
      <c r="F6" s="25">
        <f>B6-(D6+L6)</f>
        <v>0</v>
      </c>
      <c r="G6" s="358"/>
      <c r="H6" s="449"/>
      <c r="I6" s="464"/>
      <c r="J6" s="34"/>
      <c r="K6" s="32">
        <f>SUM(I6+J6+H6+G6)-F6</f>
        <v>0</v>
      </c>
      <c r="L6" s="33"/>
      <c r="N6" s="54"/>
      <c r="O6" s="44"/>
      <c r="P6" s="3"/>
      <c r="Q6" s="53" t="s">
        <v>16</v>
      </c>
      <c r="R6" s="24">
        <f>C22+C28</f>
        <v>0</v>
      </c>
    </row>
    <row r="7" spans="1:18" s="5" customFormat="1" ht="15.75" thickBot="1" x14ac:dyDescent="0.3">
      <c r="A7" s="56"/>
      <c r="B7" s="22"/>
      <c r="C7" s="28"/>
      <c r="D7" s="28"/>
      <c r="E7" s="28"/>
      <c r="F7" s="26">
        <f>B7-(D7+L7)</f>
        <v>0</v>
      </c>
      <c r="G7" s="358"/>
      <c r="H7" s="449"/>
      <c r="I7" s="464"/>
      <c r="J7" s="37"/>
      <c r="K7" s="32">
        <f>SUM(I7+J7+H7+G7)-F7</f>
        <v>0</v>
      </c>
      <c r="L7" s="38"/>
      <c r="N7" s="4" t="s">
        <v>17</v>
      </c>
      <c r="O7" s="50">
        <f>O4+O5+O6</f>
        <v>0</v>
      </c>
      <c r="Q7" s="54" t="s">
        <v>18</v>
      </c>
      <c r="R7" s="36">
        <f>+C36+C42</f>
        <v>0</v>
      </c>
    </row>
    <row r="8" spans="1:18" s="5" customFormat="1" ht="15.75" thickBot="1" x14ac:dyDescent="0.3">
      <c r="A8" s="4" t="s">
        <v>19</v>
      </c>
      <c r="B8" s="30">
        <f>SUM(B5:B7)</f>
        <v>0</v>
      </c>
      <c r="C8" s="30">
        <f t="shared" ref="C8" si="0">SUM(C5:C7)</f>
        <v>0</v>
      </c>
      <c r="D8" s="30">
        <f t="shared" ref="D8:L8" si="1">SUM(D5:D7)</f>
        <v>0</v>
      </c>
      <c r="E8" s="30">
        <f t="shared" si="1"/>
        <v>0</v>
      </c>
      <c r="F8" s="30">
        <f t="shared" si="1"/>
        <v>0</v>
      </c>
      <c r="G8" s="30">
        <f t="shared" si="1"/>
        <v>0</v>
      </c>
      <c r="H8" s="450">
        <f t="shared" si="1"/>
        <v>0</v>
      </c>
      <c r="I8" s="465">
        <f t="shared" si="1"/>
        <v>0</v>
      </c>
      <c r="J8" s="48">
        <f t="shared" si="1"/>
        <v>0</v>
      </c>
      <c r="K8" s="32">
        <f>SUM(I8+J8+H8+G8)-F8</f>
        <v>0</v>
      </c>
      <c r="L8" s="30">
        <f t="shared" si="1"/>
        <v>0</v>
      </c>
      <c r="Q8" s="480" t="s">
        <v>20</v>
      </c>
      <c r="R8" s="455">
        <f>C57</f>
        <v>0</v>
      </c>
    </row>
    <row r="9" spans="1:18" s="5" customFormat="1" ht="15.75" thickBot="1" x14ac:dyDescent="0.3">
      <c r="A9" s="9"/>
      <c r="B9" s="60"/>
      <c r="C9" s="61"/>
      <c r="D9" s="61"/>
      <c r="E9" s="61"/>
      <c r="G9" s="8" t="s">
        <v>21</v>
      </c>
      <c r="J9" s="40">
        <f>SUM(I8+J8+H8+G8)-C8-E8</f>
        <v>0</v>
      </c>
      <c r="K9" s="462"/>
      <c r="L9" s="460"/>
      <c r="Q9" s="4" t="s">
        <v>17</v>
      </c>
      <c r="R9" s="468">
        <f>SUM(R4:R8)</f>
        <v>0</v>
      </c>
    </row>
    <row r="10" spans="1:18" s="5" customFormat="1" ht="15.75" thickBot="1" x14ac:dyDescent="0.3">
      <c r="K10" s="459"/>
      <c r="L10" s="459"/>
      <c r="M10" s="61"/>
      <c r="N10" s="9" t="s">
        <v>22</v>
      </c>
    </row>
    <row r="11" spans="1:18" s="5" customFormat="1" ht="15.75" thickBot="1" x14ac:dyDescent="0.3">
      <c r="A11" s="4" t="s">
        <v>23</v>
      </c>
      <c r="B11" s="6" t="s">
        <v>6</v>
      </c>
      <c r="C11" s="94" t="s">
        <v>4</v>
      </c>
      <c r="D11" s="94" t="s">
        <v>7</v>
      </c>
      <c r="E11" s="94" t="s">
        <v>8</v>
      </c>
      <c r="F11" s="6" t="s">
        <v>9</v>
      </c>
      <c r="G11" s="6" t="s">
        <v>10</v>
      </c>
      <c r="H11" s="447" t="s">
        <v>11</v>
      </c>
      <c r="I11" s="94" t="s">
        <v>12</v>
      </c>
      <c r="J11" s="6" t="s">
        <v>13</v>
      </c>
      <c r="K11" s="7" t="s">
        <v>14</v>
      </c>
      <c r="L11" s="6" t="s">
        <v>15</v>
      </c>
      <c r="N11" s="4" t="s">
        <v>24</v>
      </c>
      <c r="O11" s="58"/>
      <c r="Q11" s="14" t="s">
        <v>25</v>
      </c>
      <c r="R11" s="15"/>
    </row>
    <row r="12" spans="1:18" s="5" customFormat="1" ht="14.25" x14ac:dyDescent="0.2">
      <c r="A12" s="54"/>
      <c r="B12" s="31"/>
      <c r="C12" s="41"/>
      <c r="D12" s="41"/>
      <c r="E12" s="43"/>
      <c r="F12" s="42">
        <f>B12-(D12+L12)</f>
        <v>0</v>
      </c>
      <c r="G12" s="43"/>
      <c r="H12" s="448"/>
      <c r="I12" s="463"/>
      <c r="J12" s="31"/>
      <c r="K12" s="32">
        <f>SUM(I12+J12+H12+G12)-F12</f>
        <v>0</v>
      </c>
      <c r="L12" s="43"/>
      <c r="N12" s="11" t="s">
        <v>26</v>
      </c>
      <c r="O12" s="57"/>
      <c r="Q12" s="16" t="s">
        <v>27</v>
      </c>
      <c r="R12" s="246"/>
    </row>
    <row r="13" spans="1:18" s="5" customFormat="1" ht="14.25" x14ac:dyDescent="0.2">
      <c r="A13" s="54"/>
      <c r="B13" s="35"/>
      <c r="C13" s="44"/>
      <c r="D13" s="44"/>
      <c r="E13" s="46"/>
      <c r="F13" s="45">
        <f>B13-(D13+L13)</f>
        <v>0</v>
      </c>
      <c r="G13" s="46"/>
      <c r="H13" s="449"/>
      <c r="I13" s="464"/>
      <c r="J13" s="35"/>
      <c r="K13" s="24">
        <f>SUM(I13+J13+H13+G13)-F13</f>
        <v>0</v>
      </c>
      <c r="L13" s="46"/>
      <c r="N13" s="2" t="s">
        <v>28</v>
      </c>
      <c r="O13" s="46"/>
      <c r="Q13" s="17" t="s">
        <v>29</v>
      </c>
      <c r="R13" s="247"/>
    </row>
    <row r="14" spans="1:18" s="5" customFormat="1" ht="15" thickBot="1" x14ac:dyDescent="0.25">
      <c r="A14" s="54"/>
      <c r="B14" s="35"/>
      <c r="C14" s="44"/>
      <c r="D14" s="44"/>
      <c r="E14" s="46"/>
      <c r="F14" s="45">
        <f>B14-(D14+L14)</f>
        <v>0</v>
      </c>
      <c r="G14" s="46"/>
      <c r="H14" s="449"/>
      <c r="I14" s="464"/>
      <c r="J14" s="35"/>
      <c r="K14" s="24">
        <f>SUM(I14+J14+H14+G14)-F14</f>
        <v>0</v>
      </c>
      <c r="L14" s="46"/>
      <c r="N14" s="13" t="s">
        <v>30</v>
      </c>
      <c r="O14" s="38"/>
      <c r="Q14" s="2" t="s">
        <v>31</v>
      </c>
      <c r="R14" s="36">
        <f>R12-R13</f>
        <v>0</v>
      </c>
    </row>
    <row r="15" spans="1:18" s="5" customFormat="1" ht="15.75" thickBot="1" x14ac:dyDescent="0.3">
      <c r="A15" s="4" t="s">
        <v>19</v>
      </c>
      <c r="B15" s="47">
        <f t="shared" ref="B15:L15" si="2">SUM(B12:B14)</f>
        <v>0</v>
      </c>
      <c r="C15" s="30">
        <f t="shared" ref="C15" si="3">SUM(C12:C14)</f>
        <v>0</v>
      </c>
      <c r="D15" s="30">
        <f t="shared" si="2"/>
        <v>0</v>
      </c>
      <c r="E15" s="30">
        <f t="shared" si="2"/>
        <v>0</v>
      </c>
      <c r="F15" s="29">
        <f t="shared" si="2"/>
        <v>0</v>
      </c>
      <c r="G15" s="30">
        <f t="shared" si="2"/>
        <v>0</v>
      </c>
      <c r="H15" s="450">
        <f t="shared" si="2"/>
        <v>0</v>
      </c>
      <c r="I15" s="465">
        <f t="shared" si="2"/>
        <v>0</v>
      </c>
      <c r="J15" s="30">
        <f t="shared" si="2"/>
        <v>0</v>
      </c>
      <c r="K15" s="30">
        <f t="shared" si="2"/>
        <v>0</v>
      </c>
      <c r="L15" s="48">
        <f t="shared" si="2"/>
        <v>0</v>
      </c>
      <c r="N15" s="4" t="s">
        <v>17</v>
      </c>
      <c r="O15" s="39">
        <f>SUM(O12:O14)</f>
        <v>0</v>
      </c>
      <c r="Q15" s="17" t="s">
        <v>32</v>
      </c>
      <c r="R15" s="247"/>
    </row>
    <row r="16" spans="1:18" s="5" customFormat="1" ht="15.75" thickBot="1" x14ac:dyDescent="0.3">
      <c r="A16" s="9"/>
      <c r="B16" s="60"/>
      <c r="C16" s="61"/>
      <c r="D16" s="61"/>
      <c r="E16" s="61"/>
      <c r="G16" s="8" t="s">
        <v>174</v>
      </c>
      <c r="J16" s="40">
        <f>SUM(I15+J15+H15+G15)-C15-E15</f>
        <v>0</v>
      </c>
      <c r="K16" s="9"/>
      <c r="L16" s="3"/>
      <c r="N16" s="4" t="s">
        <v>34</v>
      </c>
      <c r="O16" s="59"/>
      <c r="Q16" s="17" t="s">
        <v>35</v>
      </c>
      <c r="R16" s="247"/>
    </row>
    <row r="17" spans="1:18" s="5" customFormat="1" ht="15" thickBot="1" x14ac:dyDescent="0.25">
      <c r="N17" s="11" t="s">
        <v>26</v>
      </c>
      <c r="O17" s="57"/>
      <c r="Q17" s="18" t="s">
        <v>36</v>
      </c>
      <c r="R17" s="248"/>
    </row>
    <row r="18" spans="1:18" s="5" customFormat="1" ht="15.75" thickBot="1" x14ac:dyDescent="0.3">
      <c r="A18" s="360" t="s">
        <v>37</v>
      </c>
      <c r="B18" s="6" t="s">
        <v>6</v>
      </c>
      <c r="C18" s="94" t="s">
        <v>4</v>
      </c>
      <c r="D18" s="94" t="s">
        <v>7</v>
      </c>
      <c r="E18" s="94" t="s">
        <v>8</v>
      </c>
      <c r="F18" s="6" t="s">
        <v>9</v>
      </c>
      <c r="G18" s="6" t="s">
        <v>10</v>
      </c>
      <c r="H18" s="447" t="s">
        <v>11</v>
      </c>
      <c r="I18" s="94" t="s">
        <v>12</v>
      </c>
      <c r="J18" s="6" t="s">
        <v>13</v>
      </c>
      <c r="K18" s="7" t="s">
        <v>14</v>
      </c>
      <c r="L18" s="6" t="s">
        <v>15</v>
      </c>
      <c r="M18" s="61"/>
      <c r="N18" s="2" t="s">
        <v>28</v>
      </c>
      <c r="O18" s="46"/>
      <c r="Q18" s="10" t="s">
        <v>38</v>
      </c>
      <c r="R18" s="27"/>
    </row>
    <row r="19" spans="1:18" s="5" customFormat="1" ht="15.75" thickBot="1" x14ac:dyDescent="0.3">
      <c r="A19" s="52"/>
      <c r="B19" s="31"/>
      <c r="C19" s="41"/>
      <c r="D19" s="41"/>
      <c r="E19" s="43"/>
      <c r="F19" s="42">
        <f>B19-(D19+L19)</f>
        <v>0</v>
      </c>
      <c r="G19" s="43"/>
      <c r="H19" s="448"/>
      <c r="I19" s="463"/>
      <c r="J19" s="31"/>
      <c r="K19" s="32">
        <f>SUM(I19+J19+H19+G19)-F19</f>
        <v>0</v>
      </c>
      <c r="L19" s="43"/>
      <c r="N19" s="13" t="s">
        <v>30</v>
      </c>
      <c r="O19" s="38"/>
      <c r="Q19" s="91" t="s">
        <v>39</v>
      </c>
      <c r="R19" s="249">
        <f>R12-R15-R17-R18</f>
        <v>0</v>
      </c>
    </row>
    <row r="20" spans="1:18" s="5" customFormat="1" ht="15.75" thickBot="1" x14ac:dyDescent="0.3">
      <c r="A20" s="54"/>
      <c r="B20" s="35"/>
      <c r="C20" s="44"/>
      <c r="D20" s="44"/>
      <c r="E20" s="46"/>
      <c r="F20" s="45">
        <f>B20-(D20+L20)</f>
        <v>0</v>
      </c>
      <c r="G20" s="46"/>
      <c r="H20" s="449"/>
      <c r="I20" s="464"/>
      <c r="J20" s="35"/>
      <c r="K20" s="24">
        <f>SUM(I20+J20+H20+G20)-F20</f>
        <v>0</v>
      </c>
      <c r="L20" s="46"/>
      <c r="N20" s="4" t="s">
        <v>17</v>
      </c>
      <c r="O20" s="39">
        <f>SUM(O17:O19)</f>
        <v>0</v>
      </c>
      <c r="Q20" s="19" t="s">
        <v>40</v>
      </c>
      <c r="R20" s="250"/>
    </row>
    <row r="21" spans="1:18" s="5" customFormat="1" ht="15" thickBot="1" x14ac:dyDescent="0.25">
      <c r="A21" s="332"/>
      <c r="B21" s="37"/>
      <c r="C21" s="27"/>
      <c r="D21" s="27"/>
      <c r="E21" s="334"/>
      <c r="F21" s="333">
        <f>B21-(D21+L21)</f>
        <v>0</v>
      </c>
      <c r="G21" s="334"/>
      <c r="H21" s="451"/>
      <c r="I21" s="466"/>
      <c r="J21" s="37"/>
      <c r="K21" s="335">
        <f>SUM(I21+J21+H21+G21)-F21</f>
        <v>0</v>
      </c>
      <c r="L21" s="334"/>
    </row>
    <row r="22" spans="1:18" s="5" customFormat="1" ht="15.75" thickBot="1" x14ac:dyDescent="0.3">
      <c r="A22" s="4" t="s">
        <v>19</v>
      </c>
      <c r="B22" s="47">
        <f>SUM(B19:B21)</f>
        <v>0</v>
      </c>
      <c r="C22" s="47">
        <f t="shared" ref="C22" si="4">SUM(C19:C21)</f>
        <v>0</v>
      </c>
      <c r="D22" s="47">
        <f t="shared" ref="D22:L22" si="5">SUM(D19:D21)</f>
        <v>0</v>
      </c>
      <c r="E22" s="47">
        <f t="shared" si="5"/>
        <v>0</v>
      </c>
      <c r="F22" s="47">
        <f t="shared" si="5"/>
        <v>0</v>
      </c>
      <c r="G22" s="47">
        <f t="shared" si="5"/>
        <v>0</v>
      </c>
      <c r="H22" s="452">
        <f t="shared" si="5"/>
        <v>0</v>
      </c>
      <c r="I22" s="467">
        <f t="shared" si="5"/>
        <v>0</v>
      </c>
      <c r="J22" s="47">
        <f t="shared" si="5"/>
        <v>0</v>
      </c>
      <c r="K22" s="47">
        <f t="shared" si="5"/>
        <v>0</v>
      </c>
      <c r="L22" s="30">
        <f t="shared" si="5"/>
        <v>0</v>
      </c>
      <c r="N22" s="9" t="s">
        <v>10</v>
      </c>
    </row>
    <row r="23" spans="1:18" s="5" customFormat="1" ht="15.75" thickBot="1" x14ac:dyDescent="0.3">
      <c r="A23" s="9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N23" s="62" t="str">
        <f>A11</f>
        <v>SPORTS BAR</v>
      </c>
      <c r="O23" s="63">
        <f>G15</f>
        <v>0</v>
      </c>
      <c r="Q23" s="9" t="s">
        <v>19</v>
      </c>
    </row>
    <row r="24" spans="1:18" s="5" customFormat="1" ht="15.75" thickBot="1" x14ac:dyDescent="0.3">
      <c r="A24" s="4" t="s">
        <v>41</v>
      </c>
      <c r="B24" s="6" t="s">
        <v>6</v>
      </c>
      <c r="C24" s="94" t="s">
        <v>4</v>
      </c>
      <c r="D24" s="94" t="s">
        <v>7</v>
      </c>
      <c r="E24" s="94" t="s">
        <v>8</v>
      </c>
      <c r="F24" s="6" t="s">
        <v>9</v>
      </c>
      <c r="G24" s="6" t="s">
        <v>10</v>
      </c>
      <c r="H24" s="447" t="s">
        <v>11</v>
      </c>
      <c r="I24" s="94" t="s">
        <v>12</v>
      </c>
      <c r="J24" s="6" t="s">
        <v>13</v>
      </c>
      <c r="K24" s="7" t="s">
        <v>14</v>
      </c>
      <c r="L24" s="6" t="s">
        <v>15</v>
      </c>
      <c r="N24" s="12" t="str">
        <f>A4</f>
        <v>BISTRO</v>
      </c>
      <c r="O24" s="51">
        <f>G8</f>
        <v>0</v>
      </c>
      <c r="Q24" s="458" t="s">
        <v>42</v>
      </c>
      <c r="R24" s="456">
        <f>SUM(J29,J51,O7,J43,J16,J9,R19,J58,R9)</f>
        <v>0</v>
      </c>
    </row>
    <row r="25" spans="1:18" s="5" customFormat="1" ht="14.25" x14ac:dyDescent="0.2">
      <c r="A25" s="54"/>
      <c r="B25" s="35"/>
      <c r="C25" s="44"/>
      <c r="D25" s="44"/>
      <c r="E25" s="46"/>
      <c r="F25" s="45">
        <f>B25-(D25+L25)</f>
        <v>0</v>
      </c>
      <c r="G25" s="46"/>
      <c r="H25" s="449"/>
      <c r="I25" s="464"/>
      <c r="J25" s="35"/>
      <c r="K25" s="24">
        <f>SUM(I25+J25+H25+G25)-F25</f>
        <v>0</v>
      </c>
      <c r="L25" s="46"/>
      <c r="N25" s="508" t="s">
        <v>43</v>
      </c>
      <c r="O25" s="509">
        <f>G50</f>
        <v>0</v>
      </c>
      <c r="Q25" s="2" t="s">
        <v>44</v>
      </c>
      <c r="R25" s="45">
        <f>ROUND(+R24/11,2)</f>
        <v>0</v>
      </c>
    </row>
    <row r="26" spans="1:18" s="5" customFormat="1" ht="14.25" x14ac:dyDescent="0.2">
      <c r="A26" s="54"/>
      <c r="B26" s="35"/>
      <c r="C26" s="44"/>
      <c r="D26" s="44"/>
      <c r="E26" s="46"/>
      <c r="F26" s="45">
        <f>B26-(D26+L26)</f>
        <v>0</v>
      </c>
      <c r="G26" s="46"/>
      <c r="H26" s="449"/>
      <c r="I26" s="464"/>
      <c r="J26" s="35"/>
      <c r="K26" s="24">
        <f>SUM(I26+J26+H26+G26)-F26</f>
        <v>0</v>
      </c>
      <c r="L26" s="46"/>
      <c r="M26" s="61"/>
      <c r="N26" s="12" t="s">
        <v>37</v>
      </c>
      <c r="O26" s="51">
        <f>G22</f>
        <v>0</v>
      </c>
      <c r="Q26" s="2" t="s">
        <v>45</v>
      </c>
      <c r="R26" s="46">
        <f>R39</f>
        <v>0</v>
      </c>
    </row>
    <row r="27" spans="1:18" s="5" customFormat="1" ht="15" thickBot="1" x14ac:dyDescent="0.25">
      <c r="A27" s="54"/>
      <c r="B27" s="35"/>
      <c r="C27" s="44"/>
      <c r="D27" s="44"/>
      <c r="E27" s="46"/>
      <c r="F27" s="45">
        <f>B27-(D27+L27)</f>
        <v>0</v>
      </c>
      <c r="G27" s="46"/>
      <c r="H27" s="449"/>
      <c r="I27" s="464"/>
      <c r="J27" s="35"/>
      <c r="K27" s="24">
        <f>SUM(I27+J27+H27+G27)-F27</f>
        <v>0</v>
      </c>
      <c r="L27" s="46"/>
      <c r="N27" s="12" t="s">
        <v>46</v>
      </c>
      <c r="O27" s="51">
        <f>G28</f>
        <v>0</v>
      </c>
      <c r="Q27" s="13" t="s">
        <v>12</v>
      </c>
      <c r="R27" s="46">
        <f>I57+I42+I36+I28+I22+I15+I8</f>
        <v>0</v>
      </c>
    </row>
    <row r="28" spans="1:18" s="5" customFormat="1" ht="15.75" thickBot="1" x14ac:dyDescent="0.3">
      <c r="A28" s="4" t="s">
        <v>19</v>
      </c>
      <c r="B28" s="47">
        <f>SUM(B25:B27)</f>
        <v>0</v>
      </c>
      <c r="C28" s="47">
        <f t="shared" ref="C28" si="6">SUM(C25:C27)</f>
        <v>0</v>
      </c>
      <c r="D28" s="47">
        <f t="shared" ref="D28:L28" si="7">SUM(D25:D27)</f>
        <v>0</v>
      </c>
      <c r="E28" s="47">
        <f t="shared" si="7"/>
        <v>0</v>
      </c>
      <c r="F28" s="47">
        <f t="shared" si="7"/>
        <v>0</v>
      </c>
      <c r="G28" s="47">
        <f t="shared" si="7"/>
        <v>0</v>
      </c>
      <c r="H28" s="452">
        <f t="shared" si="7"/>
        <v>0</v>
      </c>
      <c r="I28" s="467">
        <f t="shared" si="7"/>
        <v>0</v>
      </c>
      <c r="J28" s="47">
        <f t="shared" si="7"/>
        <v>0</v>
      </c>
      <c r="K28" s="47">
        <f t="shared" si="7"/>
        <v>0</v>
      </c>
      <c r="L28" s="30">
        <f t="shared" si="7"/>
        <v>0</v>
      </c>
      <c r="N28" s="12" t="s">
        <v>47</v>
      </c>
      <c r="O28" s="51">
        <f>G36</f>
        <v>0</v>
      </c>
      <c r="Q28" s="10" t="s">
        <v>10</v>
      </c>
      <c r="R28" s="45">
        <f>O31</f>
        <v>0</v>
      </c>
    </row>
    <row r="29" spans="1:18" s="5" customFormat="1" ht="15.75" thickBot="1" x14ac:dyDescent="0.3">
      <c r="A29" s="9"/>
      <c r="B29" s="60"/>
      <c r="C29" s="61"/>
      <c r="D29" s="61"/>
      <c r="E29" s="61"/>
      <c r="G29" s="8" t="s">
        <v>48</v>
      </c>
      <c r="J29" s="40">
        <f>SUM(G22+H22+I22+J22)+(I28+J28+H28+G28)-C28-E28-C22-E22</f>
        <v>0</v>
      </c>
      <c r="K29" s="9"/>
      <c r="L29" s="3"/>
      <c r="N29" s="12" t="s">
        <v>49</v>
      </c>
      <c r="O29" s="51">
        <f>G42</f>
        <v>0</v>
      </c>
      <c r="Q29" s="457" t="s">
        <v>50</v>
      </c>
      <c r="R29" s="440">
        <f>R24-(R28+R26+R27)</f>
        <v>0</v>
      </c>
    </row>
    <row r="30" spans="1:18" s="5" customFormat="1" ht="15.75" thickBot="1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N30" s="510" t="s">
        <v>5</v>
      </c>
      <c r="O30" s="511">
        <f>G57</f>
        <v>0</v>
      </c>
    </row>
    <row r="31" spans="1:18" s="5" customFormat="1" ht="15.75" thickBot="1" x14ac:dyDescent="0.3">
      <c r="A31" s="9" t="s">
        <v>51</v>
      </c>
      <c r="N31" s="363" t="s">
        <v>17</v>
      </c>
      <c r="O31" s="30">
        <f>SUM(O23:O30)</f>
        <v>0</v>
      </c>
      <c r="Q31" s="4" t="s">
        <v>52</v>
      </c>
      <c r="R31" s="48">
        <f>J8+J15+J22+J28+J36+J42+J50+J57</f>
        <v>0</v>
      </c>
    </row>
    <row r="32" spans="1:18" s="5" customFormat="1" ht="15.75" thickBot="1" x14ac:dyDescent="0.3">
      <c r="A32" s="4" t="s">
        <v>47</v>
      </c>
      <c r="B32" s="6" t="s">
        <v>6</v>
      </c>
      <c r="C32" s="94" t="s">
        <v>4</v>
      </c>
      <c r="D32" s="94" t="s">
        <v>7</v>
      </c>
      <c r="E32" s="94" t="s">
        <v>8</v>
      </c>
      <c r="F32" s="6" t="s">
        <v>9</v>
      </c>
      <c r="G32" s="6" t="s">
        <v>10</v>
      </c>
      <c r="H32" s="447" t="s">
        <v>11</v>
      </c>
      <c r="I32" s="94" t="s">
        <v>12</v>
      </c>
      <c r="J32" s="6" t="s">
        <v>13</v>
      </c>
      <c r="K32" s="336" t="s">
        <v>14</v>
      </c>
      <c r="L32" s="6" t="s">
        <v>15</v>
      </c>
    </row>
    <row r="33" spans="1:18" s="5" customFormat="1" ht="15.75" thickBot="1" x14ac:dyDescent="0.3">
      <c r="A33" s="54"/>
      <c r="B33" s="35"/>
      <c r="C33" s="44"/>
      <c r="D33" s="44"/>
      <c r="E33" s="46"/>
      <c r="F33" s="45">
        <f>B33-(D33+L33)</f>
        <v>0</v>
      </c>
      <c r="G33" s="46"/>
      <c r="H33" s="449"/>
      <c r="I33" s="464"/>
      <c r="J33" s="35"/>
      <c r="K33" s="32">
        <f>SUM(I33+J33+H33+G33)-F33</f>
        <v>0</v>
      </c>
      <c r="L33" s="46"/>
      <c r="Q33" s="4" t="s">
        <v>53</v>
      </c>
      <c r="R33" s="420"/>
    </row>
    <row r="34" spans="1:18" s="5" customFormat="1" ht="14.25" x14ac:dyDescent="0.2">
      <c r="A34" s="54"/>
      <c r="B34" s="35"/>
      <c r="C34" s="44"/>
      <c r="D34" s="44"/>
      <c r="E34" s="46"/>
      <c r="F34" s="45">
        <f>B34-(D34+L34)</f>
        <v>0</v>
      </c>
      <c r="G34" s="46"/>
      <c r="H34" s="449"/>
      <c r="I34" s="464"/>
      <c r="J34" s="35"/>
      <c r="K34" s="36">
        <f>SUM(I34+J34+H34+G34)-F34</f>
        <v>0</v>
      </c>
      <c r="L34" s="46"/>
    </row>
    <row r="35" spans="1:18" s="5" customFormat="1" ht="15" thickBot="1" x14ac:dyDescent="0.25">
      <c r="A35" s="54"/>
      <c r="B35" s="35"/>
      <c r="C35" s="44"/>
      <c r="D35" s="44"/>
      <c r="E35" s="46"/>
      <c r="F35" s="45">
        <f>B35-(D35+L35)</f>
        <v>0</v>
      </c>
      <c r="G35" s="46"/>
      <c r="H35" s="449"/>
      <c r="I35" s="464"/>
      <c r="J35" s="35"/>
      <c r="K35" s="338">
        <f>SUM(I35+J35+H35+G35)-F35</f>
        <v>0</v>
      </c>
      <c r="L35" s="46"/>
      <c r="M35" s="61"/>
    </row>
    <row r="36" spans="1:18" s="5" customFormat="1" ht="15.75" thickBot="1" x14ac:dyDescent="0.3">
      <c r="A36" s="4" t="s">
        <v>19</v>
      </c>
      <c r="B36" s="47">
        <f>SUM(B33:B35)</f>
        <v>0</v>
      </c>
      <c r="C36" s="47">
        <f t="shared" ref="C36" si="8">SUM(C33:C35)</f>
        <v>0</v>
      </c>
      <c r="D36" s="47">
        <f t="shared" ref="D36:L36" si="9">SUM(D33:D35)</f>
        <v>0</v>
      </c>
      <c r="E36" s="47">
        <f t="shared" si="9"/>
        <v>0</v>
      </c>
      <c r="F36" s="47">
        <f t="shared" si="9"/>
        <v>0</v>
      </c>
      <c r="G36" s="47">
        <f t="shared" si="9"/>
        <v>0</v>
      </c>
      <c r="H36" s="452">
        <f t="shared" si="9"/>
        <v>0</v>
      </c>
      <c r="I36" s="467">
        <f t="shared" si="9"/>
        <v>0</v>
      </c>
      <c r="J36" s="47">
        <f t="shared" si="9"/>
        <v>0</v>
      </c>
      <c r="K36" s="337">
        <f t="shared" si="9"/>
        <v>0</v>
      </c>
      <c r="L36" s="30">
        <f t="shared" si="9"/>
        <v>0</v>
      </c>
      <c r="Q36" s="743" t="s">
        <v>54</v>
      </c>
      <c r="R36" s="744"/>
    </row>
    <row r="37" spans="1:18" s="5" customFormat="1" ht="15" thickBot="1" x14ac:dyDescent="0.25">
      <c r="A37" s="3"/>
      <c r="B37" s="331"/>
      <c r="C37" s="331"/>
      <c r="D37" s="331"/>
      <c r="E37" s="331"/>
      <c r="F37" s="61"/>
      <c r="G37" s="331"/>
      <c r="H37" s="331"/>
      <c r="I37" s="331"/>
      <c r="J37" s="331"/>
      <c r="K37" s="61"/>
      <c r="L37" s="331"/>
      <c r="Q37" s="512" t="s">
        <v>55</v>
      </c>
      <c r="R37" s="506"/>
    </row>
    <row r="38" spans="1:18" s="5" customFormat="1" ht="15.75" thickBot="1" x14ac:dyDescent="0.3">
      <c r="A38" s="4" t="s">
        <v>49</v>
      </c>
      <c r="B38" s="6" t="s">
        <v>6</v>
      </c>
      <c r="C38" s="94" t="s">
        <v>4</v>
      </c>
      <c r="D38" s="94" t="s">
        <v>7</v>
      </c>
      <c r="E38" s="94" t="s">
        <v>8</v>
      </c>
      <c r="F38" s="6" t="s">
        <v>9</v>
      </c>
      <c r="G38" s="6" t="s">
        <v>10</v>
      </c>
      <c r="H38" s="447" t="s">
        <v>11</v>
      </c>
      <c r="I38" s="94" t="s">
        <v>12</v>
      </c>
      <c r="J38" s="6" t="s">
        <v>13</v>
      </c>
      <c r="K38" s="7" t="s">
        <v>14</v>
      </c>
      <c r="L38" s="6" t="s">
        <v>15</v>
      </c>
      <c r="Q38" s="513" t="s">
        <v>56</v>
      </c>
      <c r="R38" s="507"/>
    </row>
    <row r="39" spans="1:18" s="5" customFormat="1" ht="15.75" thickBot="1" x14ac:dyDescent="0.3">
      <c r="A39" s="54"/>
      <c r="B39" s="35"/>
      <c r="C39" s="44"/>
      <c r="D39" s="44"/>
      <c r="E39" s="46"/>
      <c r="F39" s="45">
        <f>B39-(D39+L39)</f>
        <v>0</v>
      </c>
      <c r="G39" s="46"/>
      <c r="H39" s="449"/>
      <c r="I39" s="464"/>
      <c r="J39" s="35"/>
      <c r="K39" s="24">
        <f>SUM(I39+J39+H39+G39)-F39</f>
        <v>0</v>
      </c>
      <c r="L39" s="46"/>
      <c r="Q39" s="6" t="s">
        <v>17</v>
      </c>
      <c r="R39" s="505">
        <f>SUM(R37:R38)</f>
        <v>0</v>
      </c>
    </row>
    <row r="40" spans="1:18" s="5" customFormat="1" ht="14.25" x14ac:dyDescent="0.2">
      <c r="A40" s="54"/>
      <c r="B40" s="35"/>
      <c r="C40" s="44"/>
      <c r="D40" s="44"/>
      <c r="E40" s="46"/>
      <c r="F40" s="45">
        <f>B40-(D40+L40)</f>
        <v>0</v>
      </c>
      <c r="G40" s="46"/>
      <c r="H40" s="449"/>
      <c r="I40" s="464"/>
      <c r="J40" s="35"/>
      <c r="K40" s="24">
        <f>SUM(I40+J40+H40+G40)-F40</f>
        <v>0</v>
      </c>
      <c r="L40" s="46"/>
    </row>
    <row r="41" spans="1:18" s="5" customFormat="1" ht="15" thickBot="1" x14ac:dyDescent="0.25">
      <c r="A41" s="54"/>
      <c r="B41" s="35"/>
      <c r="C41" s="44"/>
      <c r="D41" s="44"/>
      <c r="E41" s="46"/>
      <c r="F41" s="45">
        <f>B41-(D41+L41)</f>
        <v>0</v>
      </c>
      <c r="G41" s="46"/>
      <c r="H41" s="449"/>
      <c r="I41" s="464"/>
      <c r="J41" s="35"/>
      <c r="K41" s="24">
        <f>SUM(I41+J41+H41+G41)-F41</f>
        <v>0</v>
      </c>
      <c r="L41" s="46"/>
    </row>
    <row r="42" spans="1:18" s="5" customFormat="1" ht="15.75" thickBot="1" x14ac:dyDescent="0.3">
      <c r="A42" s="4" t="s">
        <v>19</v>
      </c>
      <c r="B42" s="47">
        <f>SUM(B39:B41)</f>
        <v>0</v>
      </c>
      <c r="C42" s="47">
        <f t="shared" ref="C42" si="10">SUM(C39:C41)</f>
        <v>0</v>
      </c>
      <c r="D42" s="47">
        <f t="shared" ref="D42:L42" si="11">SUM(D39:D41)</f>
        <v>0</v>
      </c>
      <c r="E42" s="47">
        <f t="shared" si="11"/>
        <v>0</v>
      </c>
      <c r="F42" s="47">
        <f t="shared" si="11"/>
        <v>0</v>
      </c>
      <c r="G42" s="47">
        <f t="shared" si="11"/>
        <v>0</v>
      </c>
      <c r="H42" s="452">
        <f t="shared" si="11"/>
        <v>0</v>
      </c>
      <c r="I42" s="467">
        <f t="shared" si="11"/>
        <v>0</v>
      </c>
      <c r="J42" s="47">
        <f t="shared" si="11"/>
        <v>0</v>
      </c>
      <c r="K42" s="47">
        <f t="shared" si="11"/>
        <v>0</v>
      </c>
      <c r="L42" s="30">
        <f t="shared" si="11"/>
        <v>0</v>
      </c>
    </row>
    <row r="43" spans="1:18" s="5" customFormat="1" ht="15.75" thickBot="1" x14ac:dyDescent="0.3">
      <c r="A43" s="9"/>
      <c r="B43" s="60"/>
      <c r="C43" s="61"/>
      <c r="D43" s="61"/>
      <c r="E43" s="61"/>
      <c r="G43" s="8" t="s">
        <v>57</v>
      </c>
      <c r="J43" s="40">
        <f>SUM(G36+H36+I36+J36)+(I42+J42+H42+G42)-C36-C42-E36-E42</f>
        <v>0</v>
      </c>
      <c r="K43" s="9"/>
      <c r="L43" s="3"/>
      <c r="M43" s="61"/>
    </row>
    <row r="44" spans="1:18" s="5" customFormat="1" ht="14.25" x14ac:dyDescent="0.2"/>
    <row r="45" spans="1:18" s="5" customFormat="1" ht="15.75" hidden="1" thickBot="1" x14ac:dyDescent="0.3">
      <c r="A45" s="478" t="s">
        <v>58</v>
      </c>
      <c r="B45" s="447" t="s">
        <v>6</v>
      </c>
      <c r="C45" s="454" t="s">
        <v>7</v>
      </c>
      <c r="D45" s="473" t="s">
        <v>7</v>
      </c>
      <c r="E45" s="473" t="s">
        <v>8</v>
      </c>
      <c r="F45" s="447" t="s">
        <v>9</v>
      </c>
      <c r="G45" s="447" t="s">
        <v>10</v>
      </c>
      <c r="H45" s="447" t="s">
        <v>11</v>
      </c>
      <c r="I45" s="473" t="s">
        <v>12</v>
      </c>
      <c r="J45" s="447" t="s">
        <v>13</v>
      </c>
      <c r="K45" s="479" t="s">
        <v>14</v>
      </c>
      <c r="L45" s="447" t="s">
        <v>15</v>
      </c>
    </row>
    <row r="46" spans="1:18" s="5" customFormat="1" ht="14.25" hidden="1" x14ac:dyDescent="0.2">
      <c r="A46" s="480"/>
      <c r="B46" s="481"/>
      <c r="C46" s="455"/>
      <c r="D46" s="482"/>
      <c r="E46" s="483"/>
      <c r="F46" s="449">
        <f>B46-(D46+L46)</f>
        <v>0</v>
      </c>
      <c r="G46" s="483"/>
      <c r="H46" s="449"/>
      <c r="I46" s="474"/>
      <c r="J46" s="481"/>
      <c r="K46" s="484">
        <f>SUM(I46+J46+H46+G46)-F46</f>
        <v>0</v>
      </c>
      <c r="L46" s="483"/>
    </row>
    <row r="47" spans="1:18" s="5" customFormat="1" ht="14.25" hidden="1" x14ac:dyDescent="0.2">
      <c r="A47" s="480"/>
      <c r="B47" s="481"/>
      <c r="C47" s="455"/>
      <c r="D47" s="482"/>
      <c r="E47" s="483"/>
      <c r="F47" s="449">
        <f>B47-(D47+L47)</f>
        <v>0</v>
      </c>
      <c r="G47" s="483"/>
      <c r="H47" s="449"/>
      <c r="I47" s="474"/>
      <c r="J47" s="481"/>
      <c r="K47" s="485">
        <f>SUM(I47+J47+H47+G47)-F47</f>
        <v>0</v>
      </c>
      <c r="L47" s="483"/>
    </row>
    <row r="48" spans="1:18" s="5" customFormat="1" ht="14.25" hidden="1" x14ac:dyDescent="0.2">
      <c r="A48" s="480"/>
      <c r="B48" s="481"/>
      <c r="C48" s="455"/>
      <c r="D48" s="482"/>
      <c r="E48" s="483"/>
      <c r="F48" s="449">
        <f>B48-(D48+L48)</f>
        <v>0</v>
      </c>
      <c r="G48" s="483"/>
      <c r="H48" s="449"/>
      <c r="I48" s="474"/>
      <c r="J48" s="481"/>
      <c r="K48" s="485">
        <f>SUM(I48+J48+H48+G48)-F48</f>
        <v>0</v>
      </c>
      <c r="L48" s="483"/>
    </row>
    <row r="49" spans="1:12" s="5" customFormat="1" ht="15" hidden="1" thickBot="1" x14ac:dyDescent="0.25">
      <c r="A49" s="480"/>
      <c r="B49" s="481"/>
      <c r="C49" s="455"/>
      <c r="D49" s="482"/>
      <c r="E49" s="483"/>
      <c r="F49" s="449">
        <f>B49-(D49+L49)</f>
        <v>0</v>
      </c>
      <c r="G49" s="483"/>
      <c r="H49" s="449"/>
      <c r="I49" s="474"/>
      <c r="J49" s="481"/>
      <c r="K49" s="485">
        <f>SUM(I49+J49+H49+G49)-F49</f>
        <v>0</v>
      </c>
      <c r="L49" s="483"/>
    </row>
    <row r="50" spans="1:12" s="5" customFormat="1" ht="15.75" hidden="1" thickBot="1" x14ac:dyDescent="0.3">
      <c r="A50" s="478" t="s">
        <v>19</v>
      </c>
      <c r="B50" s="452">
        <f t="shared" ref="B50:L50" si="12">SUM(B46:B49)</f>
        <v>0</v>
      </c>
      <c r="C50" s="450">
        <f t="shared" ref="C50" si="13">SUM(C46:C49)</f>
        <v>0</v>
      </c>
      <c r="D50" s="450">
        <f t="shared" si="12"/>
        <v>0</v>
      </c>
      <c r="E50" s="450">
        <f t="shared" si="12"/>
        <v>0</v>
      </c>
      <c r="F50" s="453">
        <f t="shared" si="12"/>
        <v>0</v>
      </c>
      <c r="G50" s="450">
        <f t="shared" si="12"/>
        <v>0</v>
      </c>
      <c r="H50" s="453">
        <f t="shared" si="12"/>
        <v>0</v>
      </c>
      <c r="I50" s="450">
        <f>SUM(I46:I49)</f>
        <v>0</v>
      </c>
      <c r="J50" s="450">
        <f t="shared" si="12"/>
        <v>0</v>
      </c>
      <c r="K50" s="450">
        <f t="shared" si="12"/>
        <v>0</v>
      </c>
      <c r="L50" s="59">
        <f t="shared" si="12"/>
        <v>0</v>
      </c>
    </row>
    <row r="51" spans="1:12" s="5" customFormat="1" ht="15.75" hidden="1" thickBot="1" x14ac:dyDescent="0.3">
      <c r="A51" s="486"/>
      <c r="B51" s="487"/>
      <c r="C51" s="488"/>
      <c r="D51" s="488"/>
      <c r="E51" s="488"/>
      <c r="F51" s="489"/>
      <c r="G51" s="490" t="s">
        <v>59</v>
      </c>
      <c r="H51" s="489"/>
      <c r="I51" s="489"/>
      <c r="J51" s="491">
        <f>SUM(I50+J50+H50+G50)-E50</f>
        <v>0</v>
      </c>
      <c r="K51" s="486"/>
      <c r="L51" s="492"/>
    </row>
    <row r="52" spans="1:12" s="5" customFormat="1" ht="15" hidden="1" thickBot="1" x14ac:dyDescent="0.25">
      <c r="A52" s="489"/>
      <c r="B52" s="489"/>
      <c r="C52" s="489"/>
      <c r="D52" s="489"/>
      <c r="E52" s="489"/>
      <c r="F52" s="489"/>
      <c r="G52" s="489"/>
      <c r="H52" s="489"/>
      <c r="I52" s="489"/>
      <c r="J52" s="489"/>
      <c r="K52" s="489"/>
      <c r="L52" s="489"/>
    </row>
    <row r="53" spans="1:12" s="5" customFormat="1" ht="15.75" hidden="1" thickBot="1" x14ac:dyDescent="0.3">
      <c r="A53" s="478" t="s">
        <v>20</v>
      </c>
      <c r="B53" s="447" t="s">
        <v>6</v>
      </c>
      <c r="C53" s="473" t="s">
        <v>4</v>
      </c>
      <c r="D53" s="473" t="s">
        <v>7</v>
      </c>
      <c r="E53" s="473" t="s">
        <v>8</v>
      </c>
      <c r="F53" s="447" t="s">
        <v>9</v>
      </c>
      <c r="G53" s="447" t="s">
        <v>10</v>
      </c>
      <c r="H53" s="447" t="s">
        <v>11</v>
      </c>
      <c r="I53" s="473" t="s">
        <v>12</v>
      </c>
      <c r="J53" s="447" t="s">
        <v>13</v>
      </c>
      <c r="K53" s="479" t="s">
        <v>14</v>
      </c>
      <c r="L53" s="447" t="s">
        <v>15</v>
      </c>
    </row>
    <row r="54" spans="1:12" s="5" customFormat="1" ht="14.25" hidden="1" x14ac:dyDescent="0.2">
      <c r="A54" s="480"/>
      <c r="B54" s="481"/>
      <c r="C54" s="482"/>
      <c r="D54" s="482"/>
      <c r="E54" s="483"/>
      <c r="F54" s="449">
        <f>B54-(D54+L54)</f>
        <v>0</v>
      </c>
      <c r="G54" s="483"/>
      <c r="H54" s="449"/>
      <c r="I54" s="474"/>
      <c r="J54" s="481"/>
      <c r="K54" s="485">
        <f>SUM(I54+J54+H54+G54)-F54</f>
        <v>0</v>
      </c>
      <c r="L54" s="483"/>
    </row>
    <row r="55" spans="1:12" s="5" customFormat="1" ht="14.25" hidden="1" x14ac:dyDescent="0.2">
      <c r="A55" s="480"/>
      <c r="B55" s="481"/>
      <c r="C55" s="482"/>
      <c r="D55" s="482"/>
      <c r="E55" s="483"/>
      <c r="F55" s="449">
        <f>B55-(D55+L55)</f>
        <v>0</v>
      </c>
      <c r="G55" s="483"/>
      <c r="H55" s="449"/>
      <c r="I55" s="474"/>
      <c r="J55" s="481"/>
      <c r="K55" s="485">
        <f>SUM(I55+J55+H55+G55)-F55</f>
        <v>0</v>
      </c>
      <c r="L55" s="483"/>
    </row>
    <row r="56" spans="1:12" ht="15" hidden="1" thickBot="1" x14ac:dyDescent="0.25">
      <c r="A56" s="480"/>
      <c r="B56" s="481"/>
      <c r="C56" s="482"/>
      <c r="D56" s="482"/>
      <c r="E56" s="483"/>
      <c r="F56" s="449">
        <f>B56-(D56+L56)</f>
        <v>0</v>
      </c>
      <c r="G56" s="483"/>
      <c r="H56" s="449"/>
      <c r="I56" s="474"/>
      <c r="J56" s="481"/>
      <c r="K56" s="485">
        <f>SUM(I56+J56+H56+G56)-F56</f>
        <v>0</v>
      </c>
      <c r="L56" s="483"/>
    </row>
    <row r="57" spans="1:12" ht="15.75" hidden="1" thickBot="1" x14ac:dyDescent="0.3">
      <c r="A57" s="478" t="s">
        <v>19</v>
      </c>
      <c r="B57" s="452">
        <f>SUM(B54:B56)</f>
        <v>0</v>
      </c>
      <c r="C57" s="452">
        <f t="shared" ref="C57:L57" si="14">SUM(C54:C56)</f>
        <v>0</v>
      </c>
      <c r="D57" s="452">
        <f t="shared" si="14"/>
        <v>0</v>
      </c>
      <c r="E57" s="452">
        <f>SUM(E54:E56)</f>
        <v>0</v>
      </c>
      <c r="F57" s="452">
        <f t="shared" si="14"/>
        <v>0</v>
      </c>
      <c r="G57" s="452">
        <f t="shared" si="14"/>
        <v>0</v>
      </c>
      <c r="H57" s="452">
        <f t="shared" si="14"/>
        <v>0</v>
      </c>
      <c r="I57" s="452">
        <f t="shared" si="14"/>
        <v>0</v>
      </c>
      <c r="J57" s="452">
        <f t="shared" si="14"/>
        <v>0</v>
      </c>
      <c r="K57" s="452">
        <f t="shared" si="14"/>
        <v>0</v>
      </c>
      <c r="L57" s="450">
        <f t="shared" si="14"/>
        <v>0</v>
      </c>
    </row>
    <row r="58" spans="1:12" ht="15.75" hidden="1" thickBot="1" x14ac:dyDescent="0.3">
      <c r="A58" s="486"/>
      <c r="B58" s="487"/>
      <c r="C58" s="488"/>
      <c r="D58" s="488"/>
      <c r="E58" s="488"/>
      <c r="F58" s="489"/>
      <c r="G58" s="490" t="s">
        <v>60</v>
      </c>
      <c r="H58" s="489"/>
      <c r="I58" s="493"/>
      <c r="J58" s="491">
        <f>SUM(I57+J57+H57+G57)-C57-E57</f>
        <v>0</v>
      </c>
      <c r="K58" s="486"/>
      <c r="L58" s="492"/>
    </row>
    <row r="59" spans="1:12" ht="14.25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14.25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14.25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14.25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14.25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</sheetData>
  <sheetProtection algorithmName="SHA-512" hashValue="duKPD/T7kyVwd0r5iP9WtGVKRm3mvOOemRb58eJQAyqm9cUSQHRME7B9GH5kSf9BGQSmx1OYZeO1AxSa1TmqNg==" saltValue="UO5fgstkEeYVG2ad7S7umg==" spinCount="100000" sheet="1" objects="1" scenarios="1"/>
  <mergeCells count="3">
    <mergeCell ref="A1:L1"/>
    <mergeCell ref="A2:L2"/>
    <mergeCell ref="Q36:R36"/>
  </mergeCells>
  <phoneticPr fontId="39" type="noConversion"/>
  <printOptions horizontalCentered="1" verticalCentered="1"/>
  <pageMargins left="0.74803149606299213" right="0.74803149606299213" top="0.15748031496062992" bottom="0.15748031496062992" header="0.15748031496062992" footer="0.15748031496062992"/>
  <pageSetup paperSize="9" scale="69" orientation="landscape" r:id="rId1"/>
  <headerFooter alignWithMargins="0"/>
  <colBreaks count="1" manualBreakCount="1">
    <brk id="12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Button 1">
              <controlPr defaultSize="0" print="0" autoFill="0" autoPict="0">
                <anchor moveWithCells="1" sizeWithCells="1">
                  <from>
                    <xdr:col>14</xdr:col>
                    <xdr:colOff>0</xdr:colOff>
                    <xdr:row>42</xdr:row>
                    <xdr:rowOff>0</xdr:rowOff>
                  </from>
                  <to>
                    <xdr:col>14</xdr:col>
                    <xdr:colOff>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5" name="Button 2">
              <controlPr defaultSize="0" print="0" autoFill="0" autoPict="0">
                <anchor moveWithCells="1" sizeWithCells="1">
                  <from>
                    <xdr:col>14</xdr:col>
                    <xdr:colOff>0</xdr:colOff>
                    <xdr:row>42</xdr:row>
                    <xdr:rowOff>0</xdr:rowOff>
                  </from>
                  <to>
                    <xdr:col>14</xdr:col>
                    <xdr:colOff>0</xdr:colOff>
                    <xdr:row>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1" r:id="rId6" name="Button 3">
              <controlPr defaultSize="0" print="0" autoFill="0" autoPict="0">
                <anchor moveWithCells="1" sizeWithCells="1">
                  <from>
                    <xdr:col>13</xdr:col>
                    <xdr:colOff>0</xdr:colOff>
                    <xdr:row>40</xdr:row>
                    <xdr:rowOff>0</xdr:rowOff>
                  </from>
                  <to>
                    <xdr:col>13</xdr:col>
                    <xdr:colOff>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2" r:id="rId7" name="Button 4">
              <controlPr defaultSize="0" print="0" autoFill="0" autoPict="0">
                <anchor moveWithCells="1" sizeWithCells="1">
                  <from>
                    <xdr:col>13</xdr:col>
                    <xdr:colOff>0</xdr:colOff>
                    <xdr:row>40</xdr:row>
                    <xdr:rowOff>0</xdr:rowOff>
                  </from>
                  <to>
                    <xdr:col>13</xdr:col>
                    <xdr:colOff>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3" r:id="rId8" name="Button 5">
              <controlPr defaultSize="0" print="0" autoFill="0" autoPict="0">
                <anchor moveWithCells="1" sizeWithCells="1">
                  <from>
                    <xdr:col>14</xdr:col>
                    <xdr:colOff>0</xdr:colOff>
                    <xdr:row>42</xdr:row>
                    <xdr:rowOff>0</xdr:rowOff>
                  </from>
                  <to>
                    <xdr:col>14</xdr:col>
                    <xdr:colOff>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4" r:id="rId9" name="Button 6">
              <controlPr defaultSize="0" print="0" autoFill="0" autoPict="0">
                <anchor moveWithCells="1" sizeWithCells="1">
                  <from>
                    <xdr:col>14</xdr:col>
                    <xdr:colOff>0</xdr:colOff>
                    <xdr:row>42</xdr:row>
                    <xdr:rowOff>0</xdr:rowOff>
                  </from>
                  <to>
                    <xdr:col>14</xdr:col>
                    <xdr:colOff>0</xdr:colOff>
                    <xdr:row>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5" r:id="rId10" name="Button 7">
              <controlPr defaultSize="0" print="0" autoFill="0" autoPict="0">
                <anchor moveWithCells="1" sizeWithCells="1">
                  <from>
                    <xdr:col>13</xdr:col>
                    <xdr:colOff>0</xdr:colOff>
                    <xdr:row>40</xdr:row>
                    <xdr:rowOff>0</xdr:rowOff>
                  </from>
                  <to>
                    <xdr:col>13</xdr:col>
                    <xdr:colOff>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6" r:id="rId11" name="Button 8">
              <controlPr defaultSize="0" print="0" autoFill="0" autoPict="0">
                <anchor moveWithCells="1" sizeWithCells="1">
                  <from>
                    <xdr:col>13</xdr:col>
                    <xdr:colOff>0</xdr:colOff>
                    <xdr:row>40</xdr:row>
                    <xdr:rowOff>0</xdr:rowOff>
                  </from>
                  <to>
                    <xdr:col>13</xdr:col>
                    <xdr:colOff>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7" r:id="rId12" name="Button 9">
              <controlPr defaultSize="0" print="0" autoFill="0" autoPict="0">
                <anchor moveWithCells="1" sizeWithCells="1">
                  <from>
                    <xdr:col>14</xdr:col>
                    <xdr:colOff>0</xdr:colOff>
                    <xdr:row>35</xdr:row>
                    <xdr:rowOff>0</xdr:rowOff>
                  </from>
                  <to>
                    <xdr:col>14</xdr:col>
                    <xdr:colOff>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8" r:id="rId13" name="Button 10">
              <controlPr defaultSize="0" print="0" autoFill="0" autoPict="0">
                <anchor moveWithCells="1" sizeWithCells="1">
                  <from>
                    <xdr:col>14</xdr:col>
                    <xdr:colOff>0</xdr:colOff>
                    <xdr:row>35</xdr:row>
                    <xdr:rowOff>0</xdr:rowOff>
                  </from>
                  <to>
                    <xdr:col>14</xdr:col>
                    <xdr:colOff>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9" r:id="rId14" name="Button 11">
              <controlPr defaultSize="0" print="0" autoFill="0" autoPict="0">
                <anchor moveWithCells="1" sizeWithCells="1">
                  <from>
                    <xdr:col>14</xdr:col>
                    <xdr:colOff>0</xdr:colOff>
                    <xdr:row>35</xdr:row>
                    <xdr:rowOff>0</xdr:rowOff>
                  </from>
                  <to>
                    <xdr:col>14</xdr:col>
                    <xdr:colOff>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0" r:id="rId15" name="Button 12">
              <controlPr defaultSize="0" print="0" autoFill="0" autoPict="0">
                <anchor moveWithCells="1" sizeWithCells="1">
                  <from>
                    <xdr:col>14</xdr:col>
                    <xdr:colOff>0</xdr:colOff>
                    <xdr:row>35</xdr:row>
                    <xdr:rowOff>0</xdr:rowOff>
                  </from>
                  <to>
                    <xdr:col>14</xdr:col>
                    <xdr:colOff>0</xdr:colOff>
                    <xdr:row>35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P108"/>
  <sheetViews>
    <sheetView tabSelected="1" topLeftCell="A2" zoomScale="70" zoomScaleNormal="70" workbookViewId="0">
      <selection activeCell="A13" sqref="A13"/>
    </sheetView>
  </sheetViews>
  <sheetFormatPr defaultColWidth="9.140625" defaultRowHeight="16.5" x14ac:dyDescent="0.3"/>
  <cols>
    <col min="1" max="1" width="36.85546875" style="193" customWidth="1"/>
    <col min="2" max="4" width="19.28515625" style="193" customWidth="1"/>
    <col min="5" max="5" width="2.7109375" style="193" customWidth="1"/>
    <col min="6" max="10" width="19.140625" style="193" customWidth="1"/>
    <col min="11" max="16384" width="9.140625" style="193"/>
  </cols>
  <sheetData>
    <row r="1" spans="1:10" ht="27" customHeight="1" x14ac:dyDescent="0.35">
      <c r="A1" s="625" t="s">
        <v>61</v>
      </c>
      <c r="B1" s="626"/>
      <c r="C1" s="626"/>
      <c r="D1" s="626"/>
    </row>
    <row r="2" spans="1:10" ht="27" customHeight="1" x14ac:dyDescent="0.3">
      <c r="A2" s="627">
        <f>Sun!L3</f>
        <v>46061</v>
      </c>
      <c r="B2" s="628"/>
      <c r="C2" s="628"/>
      <c r="D2" s="628"/>
    </row>
    <row r="3" spans="1:10" ht="27" customHeight="1" x14ac:dyDescent="0.3">
      <c r="A3" s="629" t="s">
        <v>168</v>
      </c>
      <c r="B3" s="630"/>
      <c r="C3" s="630"/>
      <c r="D3" s="630"/>
    </row>
    <row r="4" spans="1:10" ht="17.25" thickBot="1" x14ac:dyDescent="0.35">
      <c r="A4" s="194"/>
      <c r="B4" s="195"/>
      <c r="C4" s="196"/>
      <c r="D4" s="196"/>
    </row>
    <row r="5" spans="1:10" ht="24" customHeight="1" thickBot="1" x14ac:dyDescent="0.35">
      <c r="A5" s="431" t="s">
        <v>63</v>
      </c>
      <c r="B5" s="426" t="s">
        <v>175</v>
      </c>
      <c r="C5" s="197" t="s">
        <v>161</v>
      </c>
      <c r="F5" s="342" t="s">
        <v>65</v>
      </c>
      <c r="G5" s="475">
        <f>SUM(G6:G9)</f>
        <v>0</v>
      </c>
    </row>
    <row r="6" spans="1:10" ht="24" customHeight="1" x14ac:dyDescent="0.3">
      <c r="A6" s="432" t="s">
        <v>66</v>
      </c>
      <c r="B6" s="427">
        <f>Takings!B30</f>
        <v>0</v>
      </c>
      <c r="C6" s="199">
        <f>SUM(Takings!B24:B30)</f>
        <v>0</v>
      </c>
      <c r="F6" s="340" t="s">
        <v>70</v>
      </c>
      <c r="G6" s="341">
        <f>Takings!C11</f>
        <v>0</v>
      </c>
    </row>
    <row r="7" spans="1:10" ht="24" customHeight="1" x14ac:dyDescent="0.3">
      <c r="A7" s="355" t="s">
        <v>68</v>
      </c>
      <c r="B7" s="428">
        <f>Takings!C30</f>
        <v>0</v>
      </c>
      <c r="C7" s="201">
        <f>SUM(Takings!C24:C30)</f>
        <v>0</v>
      </c>
      <c r="F7" s="340" t="s">
        <v>329</v>
      </c>
      <c r="G7" s="341">
        <f>Takings!D11</f>
        <v>0</v>
      </c>
    </row>
    <row r="8" spans="1:10" ht="24" customHeight="1" x14ac:dyDescent="0.3">
      <c r="A8" s="355" t="s">
        <v>69</v>
      </c>
      <c r="B8" s="428">
        <f>Takings!I11</f>
        <v>0</v>
      </c>
      <c r="C8" s="201">
        <f>SUM(Takings!I5:I11)</f>
        <v>0</v>
      </c>
      <c r="F8" s="200" t="s">
        <v>67</v>
      </c>
      <c r="G8" s="201">
        <f>Takings!E11</f>
        <v>0</v>
      </c>
    </row>
    <row r="9" spans="1:10" ht="24" customHeight="1" thickBot="1" x14ac:dyDescent="0.35">
      <c r="A9" s="846" t="s">
        <v>71</v>
      </c>
      <c r="B9" s="429"/>
      <c r="C9" s="302"/>
      <c r="F9" s="202" t="s">
        <v>330</v>
      </c>
      <c r="G9" s="203">
        <f>Takings!F11</f>
        <v>0</v>
      </c>
    </row>
    <row r="10" spans="1:10" ht="24" customHeight="1" x14ac:dyDescent="0.3">
      <c r="A10" s="846" t="s">
        <v>72</v>
      </c>
      <c r="B10" s="429"/>
      <c r="C10" s="302"/>
    </row>
    <row r="11" spans="1:10" ht="24" customHeight="1" x14ac:dyDescent="0.3">
      <c r="A11" s="846" t="s">
        <v>73</v>
      </c>
      <c r="B11" s="429"/>
      <c r="C11" s="302"/>
    </row>
    <row r="12" spans="1:10" ht="24" customHeight="1" x14ac:dyDescent="0.3">
      <c r="A12" s="846" t="s">
        <v>339</v>
      </c>
      <c r="B12" s="429"/>
      <c r="C12" s="302"/>
    </row>
    <row r="13" spans="1:10" ht="24" customHeight="1" thickBot="1" x14ac:dyDescent="0.35">
      <c r="A13" s="846" t="s">
        <v>337</v>
      </c>
      <c r="B13" s="429"/>
      <c r="C13" s="302"/>
    </row>
    <row r="14" spans="1:10" ht="24" customHeight="1" thickBot="1" x14ac:dyDescent="0.35">
      <c r="A14" s="846" t="s">
        <v>338</v>
      </c>
      <c r="B14" s="429"/>
      <c r="C14" s="302"/>
      <c r="F14" s="722" t="s">
        <v>74</v>
      </c>
      <c r="G14" s="723"/>
      <c r="H14" s="723"/>
      <c r="I14" s="723"/>
      <c r="J14" s="724"/>
    </row>
    <row r="15" spans="1:10" ht="24" customHeight="1" thickBot="1" x14ac:dyDescent="0.35">
      <c r="A15" s="846" t="s">
        <v>75</v>
      </c>
      <c r="B15" s="429"/>
      <c r="C15" s="302"/>
      <c r="F15" s="578" t="s">
        <v>76</v>
      </c>
      <c r="G15" s="585"/>
      <c r="H15" s="578" t="s">
        <v>77</v>
      </c>
      <c r="I15" s="725"/>
      <c r="J15" s="726"/>
    </row>
    <row r="16" spans="1:10" ht="24" customHeight="1" x14ac:dyDescent="0.3">
      <c r="A16" s="355" t="s">
        <v>65</v>
      </c>
      <c r="B16" s="428">
        <f>Takings!H46</f>
        <v>0</v>
      </c>
      <c r="C16" s="201">
        <f>SUM(Takings!B46:H46)</f>
        <v>0</v>
      </c>
      <c r="F16" s="727" t="s">
        <v>78</v>
      </c>
      <c r="G16" s="729"/>
      <c r="H16" s="730"/>
      <c r="I16" s="730"/>
      <c r="J16" s="731"/>
    </row>
    <row r="17" spans="1:10" ht="24" customHeight="1" thickBot="1" x14ac:dyDescent="0.35">
      <c r="A17" s="355" t="s">
        <v>79</v>
      </c>
      <c r="B17" s="428">
        <f>Takings!H49</f>
        <v>0</v>
      </c>
      <c r="C17" s="201">
        <f>SUM(Takings!B49:H49)</f>
        <v>0</v>
      </c>
      <c r="F17" s="728"/>
      <c r="G17" s="732"/>
      <c r="H17" s="733"/>
      <c r="I17" s="733"/>
      <c r="J17" s="734"/>
    </row>
    <row r="18" spans="1:10" ht="24" customHeight="1" x14ac:dyDescent="0.3">
      <c r="A18" s="514" t="s">
        <v>80</v>
      </c>
      <c r="B18" s="516">
        <f>Takings!H11</f>
        <v>0</v>
      </c>
      <c r="C18" s="517">
        <f>SUM(Takings!H5:H11)</f>
        <v>0</v>
      </c>
      <c r="F18" s="727" t="s">
        <v>81</v>
      </c>
      <c r="G18" s="735"/>
      <c r="H18" s="730"/>
      <c r="I18" s="730"/>
      <c r="J18" s="731"/>
    </row>
    <row r="19" spans="1:10" ht="24" customHeight="1" thickBot="1" x14ac:dyDescent="0.35">
      <c r="A19" s="433" t="s">
        <v>22</v>
      </c>
      <c r="B19" s="430">
        <f>Takings!L43</f>
        <v>0</v>
      </c>
      <c r="C19" s="203">
        <f>SUM(Takings!L37:L43)</f>
        <v>0</v>
      </c>
      <c r="F19" s="728"/>
      <c r="G19" s="732"/>
      <c r="H19" s="733"/>
      <c r="I19" s="733"/>
      <c r="J19" s="734"/>
    </row>
    <row r="20" spans="1:10" ht="39" customHeight="1" thickBot="1" x14ac:dyDescent="0.35">
      <c r="F20" s="736" t="s">
        <v>331</v>
      </c>
      <c r="G20" s="737"/>
      <c r="H20" s="737"/>
      <c r="I20" s="737"/>
      <c r="J20" s="738"/>
    </row>
    <row r="21" spans="1:10" ht="24" customHeight="1" thickBot="1" x14ac:dyDescent="0.35">
      <c r="A21" s="204"/>
      <c r="B21" s="205" t="s">
        <v>82</v>
      </c>
      <c r="C21" s="206" t="s">
        <v>83</v>
      </c>
      <c r="D21" s="207" t="s">
        <v>84</v>
      </c>
      <c r="F21" s="578" t="s">
        <v>79</v>
      </c>
      <c r="G21" s="583">
        <f>Sun!C22+Sun!C28</f>
        <v>0</v>
      </c>
      <c r="H21" s="578" t="s">
        <v>85</v>
      </c>
      <c r="I21" s="668">
        <f>Sun!J29</f>
        <v>0</v>
      </c>
      <c r="J21" s="669"/>
    </row>
    <row r="22" spans="1:10" ht="24" customHeight="1" thickBot="1" x14ac:dyDescent="0.35">
      <c r="A22" s="210" t="s">
        <v>86</v>
      </c>
      <c r="B22" s="211"/>
      <c r="C22" s="212"/>
      <c r="D22" s="213"/>
      <c r="F22" s="657" t="s">
        <v>87</v>
      </c>
      <c r="G22" s="659"/>
      <c r="H22" s="660"/>
      <c r="I22" s="660"/>
      <c r="J22" s="661"/>
    </row>
    <row r="23" spans="1:10" ht="24" customHeight="1" thickBot="1" x14ac:dyDescent="0.35">
      <c r="A23" s="230"/>
      <c r="B23" s="642" t="s">
        <v>88</v>
      </c>
      <c r="C23" s="643"/>
      <c r="D23" s="644"/>
      <c r="F23" s="658"/>
      <c r="G23" s="662"/>
      <c r="H23" s="663"/>
      <c r="I23" s="663"/>
      <c r="J23" s="664"/>
    </row>
    <row r="24" spans="1:10" ht="24" customHeight="1" x14ac:dyDescent="0.3">
      <c r="A24" s="220" t="s">
        <v>89</v>
      </c>
      <c r="B24" s="319">
        <f>G75</f>
        <v>0</v>
      </c>
      <c r="C24" s="320" t="s">
        <v>90</v>
      </c>
      <c r="D24" s="324"/>
      <c r="F24" s="657" t="s">
        <v>91</v>
      </c>
      <c r="G24" s="670"/>
      <c r="H24" s="671"/>
      <c r="I24" s="671"/>
      <c r="J24" s="672"/>
    </row>
    <row r="25" spans="1:10" ht="24" customHeight="1" thickBot="1" x14ac:dyDescent="0.35">
      <c r="A25" s="220" t="s">
        <v>92</v>
      </c>
      <c r="B25" s="631"/>
      <c r="C25" s="632"/>
      <c r="D25" s="633"/>
      <c r="F25" s="658"/>
      <c r="G25" s="673"/>
      <c r="H25" s="674"/>
      <c r="I25" s="674"/>
      <c r="J25" s="675"/>
    </row>
    <row r="26" spans="1:10" ht="24" customHeight="1" x14ac:dyDescent="0.3">
      <c r="A26" s="220" t="s">
        <v>93</v>
      </c>
      <c r="B26" s="631"/>
      <c r="C26" s="632"/>
      <c r="D26" s="633"/>
      <c r="F26" s="657" t="s">
        <v>94</v>
      </c>
      <c r="G26" s="659"/>
      <c r="H26" s="660"/>
      <c r="I26" s="660"/>
      <c r="J26" s="661"/>
    </row>
    <row r="27" spans="1:10" ht="24" customHeight="1" thickBot="1" x14ac:dyDescent="0.35">
      <c r="A27" s="225" t="s">
        <v>95</v>
      </c>
      <c r="B27" s="634"/>
      <c r="C27" s="634"/>
      <c r="D27" s="635"/>
      <c r="F27" s="658"/>
      <c r="G27" s="662"/>
      <c r="H27" s="663"/>
      <c r="I27" s="663"/>
      <c r="J27" s="664"/>
    </row>
    <row r="28" spans="1:10" ht="24" customHeight="1" thickBot="1" x14ac:dyDescent="0.35">
      <c r="A28" s="219" t="s">
        <v>96</v>
      </c>
      <c r="B28" s="321">
        <f>B6-B24</f>
        <v>0</v>
      </c>
      <c r="C28" s="322" t="s">
        <v>90</v>
      </c>
      <c r="D28" s="323"/>
      <c r="F28" s="665" t="s">
        <v>329</v>
      </c>
      <c r="G28" s="666"/>
      <c r="H28" s="666"/>
      <c r="I28" s="666"/>
      <c r="J28" s="667"/>
    </row>
    <row r="29" spans="1:10" ht="24" customHeight="1" thickBot="1" x14ac:dyDescent="0.35">
      <c r="A29" s="220" t="s">
        <v>97</v>
      </c>
      <c r="B29" s="631"/>
      <c r="C29" s="632"/>
      <c r="D29" s="633"/>
      <c r="F29" s="578" t="s">
        <v>79</v>
      </c>
      <c r="G29" s="583">
        <f>Sun!C8</f>
        <v>0</v>
      </c>
      <c r="H29" s="578" t="s">
        <v>85</v>
      </c>
      <c r="I29" s="668">
        <f>Sun!J9</f>
        <v>0</v>
      </c>
      <c r="J29" s="669"/>
    </row>
    <row r="30" spans="1:10" ht="24" customHeight="1" x14ac:dyDescent="0.3">
      <c r="A30" s="220" t="s">
        <v>93</v>
      </c>
      <c r="B30" s="631"/>
      <c r="C30" s="632"/>
      <c r="D30" s="633"/>
      <c r="F30" s="657" t="s">
        <v>87</v>
      </c>
      <c r="G30" s="659"/>
      <c r="H30" s="660"/>
      <c r="I30" s="660"/>
      <c r="J30" s="661"/>
    </row>
    <row r="31" spans="1:10" ht="24" customHeight="1" thickBot="1" x14ac:dyDescent="0.35">
      <c r="A31" s="225" t="s">
        <v>95</v>
      </c>
      <c r="B31" s="634"/>
      <c r="C31" s="679"/>
      <c r="D31" s="680"/>
      <c r="F31" s="658"/>
      <c r="G31" s="662"/>
      <c r="H31" s="663"/>
      <c r="I31" s="663"/>
      <c r="J31" s="664"/>
    </row>
    <row r="32" spans="1:10" ht="24" customHeight="1" x14ac:dyDescent="0.3">
      <c r="A32" s="220"/>
      <c r="B32" s="698" t="s">
        <v>332</v>
      </c>
      <c r="C32" s="699"/>
      <c r="D32" s="700"/>
      <c r="F32" s="657" t="s">
        <v>91</v>
      </c>
      <c r="G32" s="659"/>
      <c r="H32" s="660"/>
      <c r="I32" s="660"/>
      <c r="J32" s="661"/>
    </row>
    <row r="33" spans="1:16" ht="24" customHeight="1" thickBot="1" x14ac:dyDescent="0.35">
      <c r="A33" s="220" t="s">
        <v>333</v>
      </c>
      <c r="B33" s="631"/>
      <c r="C33" s="701"/>
      <c r="D33" s="702"/>
      <c r="F33" s="658"/>
      <c r="G33" s="662"/>
      <c r="H33" s="663"/>
      <c r="I33" s="663"/>
      <c r="J33" s="664"/>
    </row>
    <row r="34" spans="1:16" ht="24" customHeight="1" x14ac:dyDescent="0.3">
      <c r="A34" s="220" t="s">
        <v>334</v>
      </c>
      <c r="B34" s="631"/>
      <c r="C34" s="701"/>
      <c r="D34" s="702"/>
      <c r="F34" s="657" t="s">
        <v>94</v>
      </c>
      <c r="G34" s="670"/>
      <c r="H34" s="671"/>
      <c r="I34" s="671"/>
      <c r="J34" s="672"/>
    </row>
    <row r="35" spans="1:16" ht="24" customHeight="1" thickBot="1" x14ac:dyDescent="0.35">
      <c r="A35" s="220" t="s">
        <v>335</v>
      </c>
      <c r="B35" s="631"/>
      <c r="C35" s="701"/>
      <c r="D35" s="702"/>
      <c r="F35" s="658"/>
      <c r="G35" s="673"/>
      <c r="H35" s="674"/>
      <c r="I35" s="674"/>
      <c r="J35" s="675"/>
    </row>
    <row r="36" spans="1:16" ht="24" customHeight="1" thickBot="1" x14ac:dyDescent="0.35">
      <c r="A36" s="220" t="s">
        <v>98</v>
      </c>
      <c r="B36" s="631"/>
      <c r="C36" s="701"/>
      <c r="D36" s="702"/>
      <c r="F36" s="676" t="s">
        <v>99</v>
      </c>
      <c r="G36" s="677"/>
      <c r="H36" s="677"/>
      <c r="I36" s="677"/>
      <c r="J36" s="678"/>
    </row>
    <row r="37" spans="1:16" ht="24" customHeight="1" thickBot="1" x14ac:dyDescent="0.35">
      <c r="A37" s="225" t="s">
        <v>336</v>
      </c>
      <c r="B37" s="634"/>
      <c r="C37" s="703"/>
      <c r="D37" s="704"/>
      <c r="F37" s="578" t="s">
        <v>79</v>
      </c>
      <c r="G37" s="583">
        <f>Sun!C15</f>
        <v>0</v>
      </c>
      <c r="H37" s="578" t="s">
        <v>85</v>
      </c>
      <c r="I37" s="668">
        <f>Sun!J16</f>
        <v>0</v>
      </c>
      <c r="J37" s="669"/>
    </row>
    <row r="38" spans="1:16" ht="24" customHeight="1" x14ac:dyDescent="0.3">
      <c r="A38" s="220"/>
      <c r="B38" s="648" t="s">
        <v>100</v>
      </c>
      <c r="C38" s="649"/>
      <c r="D38" s="650"/>
      <c r="F38" s="657" t="s">
        <v>87</v>
      </c>
      <c r="G38" s="659"/>
      <c r="H38" s="660"/>
      <c r="I38" s="660"/>
      <c r="J38" s="661"/>
    </row>
    <row r="39" spans="1:16" ht="24" customHeight="1" thickBot="1" x14ac:dyDescent="0.35">
      <c r="A39" s="220" t="s">
        <v>101</v>
      </c>
      <c r="B39" s="695"/>
      <c r="C39" s="696"/>
      <c r="D39" s="697"/>
      <c r="F39" s="658"/>
      <c r="G39" s="662"/>
      <c r="H39" s="663"/>
      <c r="I39" s="663"/>
      <c r="J39" s="664"/>
    </row>
    <row r="40" spans="1:16" ht="24" customHeight="1" x14ac:dyDescent="0.3">
      <c r="A40" s="220" t="s">
        <v>102</v>
      </c>
      <c r="B40" s="639" t="e">
        <f>Takings!B30/Takings!E30</f>
        <v>#DIV/0!</v>
      </c>
      <c r="C40" s="640"/>
      <c r="D40" s="641"/>
      <c r="F40" s="657" t="s">
        <v>91</v>
      </c>
      <c r="G40" s="659"/>
      <c r="H40" s="660"/>
      <c r="I40" s="660"/>
      <c r="J40" s="661"/>
    </row>
    <row r="41" spans="1:16" ht="24" customHeight="1" thickBot="1" x14ac:dyDescent="0.35">
      <c r="A41" s="220" t="s">
        <v>103</v>
      </c>
      <c r="B41" s="645"/>
      <c r="C41" s="646"/>
      <c r="D41" s="647"/>
      <c r="F41" s="658"/>
      <c r="G41" s="662"/>
      <c r="H41" s="663"/>
      <c r="I41" s="663"/>
      <c r="J41" s="664"/>
      <c r="P41" s="584"/>
    </row>
    <row r="42" spans="1:16" ht="24" customHeight="1" x14ac:dyDescent="0.3">
      <c r="A42" s="230"/>
      <c r="B42" s="642" t="s">
        <v>22</v>
      </c>
      <c r="C42" s="643"/>
      <c r="D42" s="644"/>
      <c r="F42" s="657" t="s">
        <v>94</v>
      </c>
      <c r="G42" s="670"/>
      <c r="H42" s="671"/>
      <c r="I42" s="671"/>
      <c r="J42" s="672"/>
    </row>
    <row r="43" spans="1:16" ht="24" customHeight="1" thickBot="1" x14ac:dyDescent="0.35">
      <c r="A43" s="220" t="s">
        <v>104</v>
      </c>
      <c r="B43" s="636"/>
      <c r="C43" s="637"/>
      <c r="D43" s="638"/>
      <c r="F43" s="658"/>
      <c r="G43" s="673"/>
      <c r="H43" s="674"/>
      <c r="I43" s="674"/>
      <c r="J43" s="675"/>
    </row>
    <row r="44" spans="1:16" ht="24" customHeight="1" thickBot="1" x14ac:dyDescent="0.35">
      <c r="A44" s="220" t="s">
        <v>105</v>
      </c>
      <c r="B44" s="693"/>
      <c r="C44" s="636"/>
      <c r="D44" s="694"/>
      <c r="F44" s="739" t="s">
        <v>106</v>
      </c>
      <c r="G44" s="740"/>
      <c r="H44" s="740"/>
      <c r="I44" s="740"/>
      <c r="J44" s="741"/>
    </row>
    <row r="45" spans="1:16" ht="24" customHeight="1" thickBot="1" x14ac:dyDescent="0.35">
      <c r="A45" s="220" t="s">
        <v>107</v>
      </c>
      <c r="B45" s="414"/>
      <c r="C45" s="415"/>
      <c r="D45" s="231"/>
      <c r="F45" s="578" t="s">
        <v>79</v>
      </c>
      <c r="G45" s="583">
        <f>Sun!C36+Sun!C42</f>
        <v>0</v>
      </c>
      <c r="H45" s="578" t="s">
        <v>85</v>
      </c>
      <c r="I45" s="668">
        <f>Sun!J43</f>
        <v>0</v>
      </c>
      <c r="J45" s="669"/>
    </row>
    <row r="46" spans="1:16" ht="24" customHeight="1" thickBot="1" x14ac:dyDescent="0.35">
      <c r="A46" s="582"/>
      <c r="B46" s="681"/>
      <c r="C46" s="682"/>
      <c r="D46" s="683"/>
      <c r="F46" s="657" t="s">
        <v>87</v>
      </c>
      <c r="G46" s="659"/>
      <c r="H46" s="660"/>
      <c r="I46" s="660"/>
      <c r="J46" s="661"/>
    </row>
    <row r="47" spans="1:16" ht="24" customHeight="1" thickBot="1" x14ac:dyDescent="0.35">
      <c r="A47" s="581"/>
      <c r="B47" s="690" t="s">
        <v>108</v>
      </c>
      <c r="C47" s="691"/>
      <c r="D47" s="692"/>
      <c r="F47" s="658"/>
      <c r="G47" s="662"/>
      <c r="H47" s="663"/>
      <c r="I47" s="663"/>
      <c r="J47" s="664"/>
    </row>
    <row r="48" spans="1:16" ht="24" customHeight="1" x14ac:dyDescent="0.3">
      <c r="A48" s="579" t="s">
        <v>104</v>
      </c>
      <c r="B48" s="684"/>
      <c r="C48" s="685"/>
      <c r="D48" s="686"/>
      <c r="F48" s="657" t="s">
        <v>91</v>
      </c>
      <c r="G48" s="659"/>
      <c r="H48" s="660"/>
      <c r="I48" s="660"/>
      <c r="J48" s="661"/>
    </row>
    <row r="49" spans="1:10" ht="24" customHeight="1" thickBot="1" x14ac:dyDescent="0.35">
      <c r="A49" s="580" t="s">
        <v>105</v>
      </c>
      <c r="B49" s="687"/>
      <c r="C49" s="688"/>
      <c r="D49" s="689"/>
      <c r="F49" s="658"/>
      <c r="G49" s="662"/>
      <c r="H49" s="663"/>
      <c r="I49" s="663"/>
      <c r="J49" s="664"/>
    </row>
    <row r="50" spans="1:10" ht="24" customHeight="1" x14ac:dyDescent="0.3">
      <c r="A50" s="230"/>
      <c r="B50" s="705" t="s">
        <v>109</v>
      </c>
      <c r="C50" s="643"/>
      <c r="D50" s="644"/>
      <c r="F50" s="657" t="s">
        <v>94</v>
      </c>
      <c r="G50" s="659"/>
      <c r="H50" s="660"/>
      <c r="I50" s="660"/>
      <c r="J50" s="661"/>
    </row>
    <row r="51" spans="1:10" ht="24" customHeight="1" thickBot="1" x14ac:dyDescent="0.35">
      <c r="A51" s="232" t="s">
        <v>110</v>
      </c>
      <c r="B51" s="693"/>
      <c r="C51" s="637"/>
      <c r="D51" s="638"/>
      <c r="F51" s="658"/>
      <c r="G51" s="662"/>
      <c r="H51" s="663"/>
      <c r="I51" s="663"/>
      <c r="J51" s="664"/>
    </row>
    <row r="52" spans="1:10" ht="24" customHeight="1" x14ac:dyDescent="0.3">
      <c r="A52" s="220" t="s">
        <v>111</v>
      </c>
      <c r="B52" s="251" t="s">
        <v>112</v>
      </c>
      <c r="C52" s="253" t="s">
        <v>113</v>
      </c>
      <c r="D52" s="252"/>
    </row>
    <row r="53" spans="1:10" ht="24" customHeight="1" thickBot="1" x14ac:dyDescent="0.35">
      <c r="A53" s="220" t="s">
        <v>114</v>
      </c>
      <c r="B53" s="693" t="s">
        <v>112</v>
      </c>
      <c r="C53" s="637"/>
      <c r="D53" s="638"/>
    </row>
    <row r="54" spans="1:10" ht="24" customHeight="1" thickBot="1" x14ac:dyDescent="0.35">
      <c r="A54" s="230"/>
      <c r="B54" s="705" t="s">
        <v>115</v>
      </c>
      <c r="C54" s="643"/>
      <c r="D54" s="644"/>
      <c r="F54" s="198" t="s">
        <v>116</v>
      </c>
    </row>
    <row r="55" spans="1:10" ht="24" customHeight="1" x14ac:dyDescent="0.3">
      <c r="A55" s="220" t="s">
        <v>117</v>
      </c>
      <c r="B55" s="693"/>
      <c r="C55" s="637"/>
      <c r="D55" s="638"/>
      <c r="F55" s="208" t="s">
        <v>118</v>
      </c>
      <c r="G55" s="651" t="s">
        <v>119</v>
      </c>
      <c r="H55" s="652"/>
      <c r="I55" s="653"/>
      <c r="J55" s="209" t="s">
        <v>120</v>
      </c>
    </row>
    <row r="56" spans="1:10" ht="24" customHeight="1" x14ac:dyDescent="0.3">
      <c r="A56" s="220" t="s">
        <v>111</v>
      </c>
      <c r="B56" s="693"/>
      <c r="C56" s="637"/>
      <c r="D56" s="638"/>
      <c r="F56" s="343"/>
      <c r="G56" s="654"/>
      <c r="H56" s="655"/>
      <c r="I56" s="656"/>
      <c r="J56" s="215"/>
    </row>
    <row r="57" spans="1:10" ht="24" customHeight="1" thickBot="1" x14ac:dyDescent="0.35">
      <c r="A57" s="220" t="s">
        <v>114</v>
      </c>
      <c r="B57" s="693"/>
      <c r="C57" s="637"/>
      <c r="D57" s="638"/>
      <c r="F57" s="343"/>
      <c r="G57" s="654"/>
      <c r="H57" s="655"/>
      <c r="I57" s="656"/>
      <c r="J57" s="215"/>
    </row>
    <row r="58" spans="1:10" ht="24" customHeight="1" x14ac:dyDescent="0.3">
      <c r="A58" s="238"/>
      <c r="B58" s="620" t="s">
        <v>121</v>
      </c>
      <c r="C58" s="620"/>
      <c r="D58" s="621"/>
      <c r="F58" s="343"/>
      <c r="G58" s="654"/>
      <c r="H58" s="655"/>
      <c r="I58" s="656"/>
      <c r="J58" s="215"/>
    </row>
    <row r="59" spans="1:10" ht="24" customHeight="1" x14ac:dyDescent="0.3">
      <c r="A59" s="239" t="s">
        <v>122</v>
      </c>
      <c r="B59" s="622"/>
      <c r="C59" s="623"/>
      <c r="D59" s="624"/>
      <c r="F59" s="343"/>
      <c r="G59" s="654"/>
      <c r="H59" s="655"/>
      <c r="I59" s="656"/>
      <c r="J59" s="215"/>
    </row>
    <row r="60" spans="1:10" ht="24" customHeight="1" thickBot="1" x14ac:dyDescent="0.35">
      <c r="A60" s="239" t="s">
        <v>123</v>
      </c>
      <c r="B60" s="614"/>
      <c r="C60" s="710"/>
      <c r="D60" s="711"/>
      <c r="E60" s="237"/>
      <c r="F60" s="343"/>
      <c r="G60" s="654"/>
      <c r="H60" s="655"/>
      <c r="I60" s="656"/>
      <c r="J60" s="215"/>
    </row>
    <row r="61" spans="1:10" ht="24" customHeight="1" x14ac:dyDescent="0.3">
      <c r="A61" s="238"/>
      <c r="B61" s="713" t="s">
        <v>124</v>
      </c>
      <c r="C61" s="620"/>
      <c r="D61" s="621"/>
      <c r="E61" s="237"/>
      <c r="F61" s="214"/>
      <c r="G61" s="654"/>
      <c r="H61" s="655"/>
      <c r="I61" s="656"/>
      <c r="J61" s="215"/>
    </row>
    <row r="62" spans="1:10" ht="24" customHeight="1" x14ac:dyDescent="0.3">
      <c r="A62" s="239" t="s">
        <v>125</v>
      </c>
      <c r="B62" s="614"/>
      <c r="C62" s="615"/>
      <c r="D62" s="616"/>
      <c r="E62" s="237"/>
      <c r="F62" s="214"/>
      <c r="G62" s="654"/>
      <c r="H62" s="655"/>
      <c r="I62" s="656"/>
      <c r="J62" s="215"/>
    </row>
    <row r="63" spans="1:10" ht="24" customHeight="1" thickBot="1" x14ac:dyDescent="0.35">
      <c r="A63" s="240"/>
      <c r="B63" s="617"/>
      <c r="C63" s="618"/>
      <c r="D63" s="619"/>
      <c r="E63" s="237"/>
      <c r="F63" s="216"/>
      <c r="G63" s="707"/>
      <c r="H63" s="708"/>
      <c r="I63" s="709"/>
      <c r="J63" s="217"/>
    </row>
    <row r="64" spans="1:10" ht="24" customHeight="1" thickBot="1" x14ac:dyDescent="0.35">
      <c r="A64" s="241" t="s">
        <v>126</v>
      </c>
      <c r="B64" s="706"/>
      <c r="C64" s="714"/>
      <c r="D64" s="715"/>
      <c r="E64" s="237"/>
    </row>
    <row r="65" spans="1:10" ht="24" customHeight="1" x14ac:dyDescent="0.3">
      <c r="A65" s="242"/>
      <c r="B65" s="717" t="s">
        <v>127</v>
      </c>
      <c r="C65" s="718"/>
      <c r="D65" s="719"/>
      <c r="E65" s="237"/>
      <c r="F65" s="218" t="s">
        <v>88</v>
      </c>
      <c r="G65" s="218"/>
      <c r="H65" s="198" t="s">
        <v>128</v>
      </c>
      <c r="I65" s="218" t="s">
        <v>129</v>
      </c>
      <c r="J65" s="218" t="s">
        <v>130</v>
      </c>
    </row>
    <row r="66" spans="1:10" ht="24" customHeight="1" thickBot="1" x14ac:dyDescent="0.35">
      <c r="A66" s="434" t="s">
        <v>131</v>
      </c>
      <c r="B66" s="712"/>
      <c r="C66" s="720"/>
      <c r="D66" s="721"/>
      <c r="E66" s="237"/>
      <c r="F66" s="92" t="s">
        <v>130</v>
      </c>
      <c r="G66" s="92" t="s">
        <v>40</v>
      </c>
      <c r="H66" s="92" t="s">
        <v>40</v>
      </c>
      <c r="I66" s="92" t="s">
        <v>132</v>
      </c>
      <c r="J66" s="92" t="s">
        <v>133</v>
      </c>
    </row>
    <row r="67" spans="1:10" ht="24" customHeight="1" x14ac:dyDescent="0.3">
      <c r="A67" s="339" t="s">
        <v>134</v>
      </c>
      <c r="B67" s="712"/>
      <c r="C67" s="720"/>
      <c r="D67" s="721"/>
      <c r="E67" s="237"/>
      <c r="F67" s="110" t="s">
        <v>135</v>
      </c>
      <c r="G67" s="221"/>
      <c r="H67" s="222"/>
      <c r="I67" s="223"/>
      <c r="J67" s="224">
        <v>23</v>
      </c>
    </row>
    <row r="68" spans="1:10" ht="24" customHeight="1" x14ac:dyDescent="0.3">
      <c r="A68" s="243" t="s">
        <v>136</v>
      </c>
      <c r="B68" s="712"/>
      <c r="C68" s="710"/>
      <c r="D68" s="711"/>
      <c r="F68" s="118" t="s">
        <v>137</v>
      </c>
      <c r="G68" s="226"/>
      <c r="H68" s="227">
        <f t="shared" ref="H68:H73" si="0">G68-G67</f>
        <v>0</v>
      </c>
      <c r="I68" s="228"/>
      <c r="J68" s="229">
        <v>23</v>
      </c>
    </row>
    <row r="69" spans="1:10" ht="24" customHeight="1" thickBot="1" x14ac:dyDescent="0.35">
      <c r="A69" s="243" t="s">
        <v>138</v>
      </c>
      <c r="B69" s="716"/>
      <c r="C69" s="682"/>
      <c r="D69" s="683"/>
      <c r="F69" s="118" t="s">
        <v>139</v>
      </c>
      <c r="G69" s="226"/>
      <c r="H69" s="227">
        <f t="shared" si="0"/>
        <v>0</v>
      </c>
      <c r="I69" s="228"/>
      <c r="J69" s="229">
        <v>23</v>
      </c>
    </row>
    <row r="70" spans="1:10" ht="24" customHeight="1" x14ac:dyDescent="0.3">
      <c r="A70" s="244"/>
      <c r="B70" s="713" t="s">
        <v>140</v>
      </c>
      <c r="C70" s="620"/>
      <c r="D70" s="621"/>
      <c r="F70" s="118" t="s">
        <v>141</v>
      </c>
      <c r="G70" s="226"/>
      <c r="H70" s="227">
        <f t="shared" si="0"/>
        <v>0</v>
      </c>
      <c r="I70" s="228"/>
      <c r="J70" s="229">
        <v>23</v>
      </c>
    </row>
    <row r="71" spans="1:10" ht="24" customHeight="1" x14ac:dyDescent="0.3">
      <c r="A71" s="243" t="s">
        <v>142</v>
      </c>
      <c r="B71" s="614"/>
      <c r="C71" s="710"/>
      <c r="D71" s="711"/>
      <c r="F71" s="118" t="s">
        <v>143</v>
      </c>
      <c r="G71" s="226"/>
      <c r="H71" s="227">
        <f t="shared" si="0"/>
        <v>0</v>
      </c>
      <c r="I71" s="228"/>
      <c r="J71" s="229">
        <v>23</v>
      </c>
    </row>
    <row r="72" spans="1:10" ht="24" customHeight="1" thickBot="1" x14ac:dyDescent="0.35">
      <c r="A72" s="245" t="s">
        <v>144</v>
      </c>
      <c r="B72" s="706"/>
      <c r="C72" s="682"/>
      <c r="D72" s="683"/>
      <c r="F72" s="118" t="s">
        <v>145</v>
      </c>
      <c r="G72" s="226"/>
      <c r="H72" s="227">
        <f t="shared" si="0"/>
        <v>0</v>
      </c>
      <c r="I72" s="228"/>
      <c r="J72" s="229">
        <v>23</v>
      </c>
    </row>
    <row r="73" spans="1:10" ht="24" customHeight="1" x14ac:dyDescent="0.3">
      <c r="F73" s="118" t="s">
        <v>146</v>
      </c>
      <c r="G73" s="226"/>
      <c r="H73" s="227">
        <f t="shared" si="0"/>
        <v>0</v>
      </c>
      <c r="I73" s="228"/>
      <c r="J73" s="229">
        <v>23</v>
      </c>
    </row>
    <row r="74" spans="1:10" ht="24" customHeight="1" x14ac:dyDescent="0.3">
      <c r="F74" s="118" t="s">
        <v>147</v>
      </c>
      <c r="G74" s="226"/>
      <c r="H74" s="227">
        <f t="shared" ref="H74:H85" si="1">G74-G73</f>
        <v>0</v>
      </c>
      <c r="I74" s="228"/>
      <c r="J74" s="229">
        <v>23</v>
      </c>
    </row>
    <row r="75" spans="1:10" ht="24" customHeight="1" x14ac:dyDescent="0.3">
      <c r="F75" s="118" t="s">
        <v>148</v>
      </c>
      <c r="G75" s="226"/>
      <c r="H75" s="227">
        <f t="shared" si="1"/>
        <v>0</v>
      </c>
      <c r="I75" s="228"/>
      <c r="J75" s="229">
        <v>23</v>
      </c>
    </row>
    <row r="76" spans="1:10" ht="24" customHeight="1" x14ac:dyDescent="0.3">
      <c r="F76" s="118" t="s">
        <v>149</v>
      </c>
      <c r="G76" s="226"/>
      <c r="H76" s="227">
        <f t="shared" si="1"/>
        <v>0</v>
      </c>
      <c r="I76" s="228"/>
      <c r="J76" s="229">
        <v>23</v>
      </c>
    </row>
    <row r="77" spans="1:10" ht="24" customHeight="1" x14ac:dyDescent="0.3">
      <c r="F77" s="118" t="s">
        <v>150</v>
      </c>
      <c r="G77" s="226"/>
      <c r="H77" s="227">
        <f t="shared" si="1"/>
        <v>0</v>
      </c>
      <c r="I77" s="228"/>
      <c r="J77" s="229">
        <v>23</v>
      </c>
    </row>
    <row r="78" spans="1:10" ht="24" customHeight="1" x14ac:dyDescent="0.3">
      <c r="F78" s="118" t="s">
        <v>151</v>
      </c>
      <c r="G78" s="226"/>
      <c r="H78" s="227">
        <f t="shared" si="1"/>
        <v>0</v>
      </c>
      <c r="I78" s="228"/>
      <c r="J78" s="229">
        <v>23</v>
      </c>
    </row>
    <row r="79" spans="1:10" ht="24" customHeight="1" x14ac:dyDescent="0.3">
      <c r="F79" s="118" t="s">
        <v>152</v>
      </c>
      <c r="G79" s="226"/>
      <c r="H79" s="227">
        <f t="shared" si="1"/>
        <v>0</v>
      </c>
      <c r="I79" s="228"/>
      <c r="J79" s="229">
        <v>23</v>
      </c>
    </row>
    <row r="80" spans="1:10" ht="24" customHeight="1" x14ac:dyDescent="0.3">
      <c r="F80" s="118" t="s">
        <v>153</v>
      </c>
      <c r="G80" s="226"/>
      <c r="H80" s="227">
        <f t="shared" si="1"/>
        <v>0</v>
      </c>
      <c r="I80" s="228"/>
      <c r="J80" s="229">
        <v>23</v>
      </c>
    </row>
    <row r="81" spans="6:10" ht="24" customHeight="1" x14ac:dyDescent="0.3">
      <c r="F81" s="118" t="s">
        <v>154</v>
      </c>
      <c r="G81" s="226"/>
      <c r="H81" s="227">
        <f t="shared" si="1"/>
        <v>0</v>
      </c>
      <c r="I81" s="228"/>
      <c r="J81" s="229">
        <v>23</v>
      </c>
    </row>
    <row r="82" spans="6:10" ht="24" customHeight="1" x14ac:dyDescent="0.3">
      <c r="F82" s="118" t="s">
        <v>155</v>
      </c>
      <c r="G82" s="226"/>
      <c r="H82" s="227">
        <f t="shared" si="1"/>
        <v>0</v>
      </c>
      <c r="I82" s="228"/>
      <c r="J82" s="229">
        <v>23</v>
      </c>
    </row>
    <row r="83" spans="6:10" ht="24" customHeight="1" x14ac:dyDescent="0.3">
      <c r="F83" s="118" t="s">
        <v>156</v>
      </c>
      <c r="G83" s="226"/>
      <c r="H83" s="227">
        <f t="shared" si="1"/>
        <v>0</v>
      </c>
      <c r="I83" s="228"/>
      <c r="J83" s="229">
        <v>23</v>
      </c>
    </row>
    <row r="84" spans="6:10" ht="24" customHeight="1" x14ac:dyDescent="0.3">
      <c r="F84" s="118" t="s">
        <v>157</v>
      </c>
      <c r="G84" s="226"/>
      <c r="H84" s="227">
        <f t="shared" si="1"/>
        <v>0</v>
      </c>
      <c r="I84" s="228"/>
      <c r="J84" s="229">
        <v>23</v>
      </c>
    </row>
    <row r="85" spans="6:10" ht="24" customHeight="1" thickBot="1" x14ac:dyDescent="0.35">
      <c r="F85" s="127" t="s">
        <v>158</v>
      </c>
      <c r="G85" s="233"/>
      <c r="H85" s="234">
        <f t="shared" si="1"/>
        <v>0</v>
      </c>
      <c r="I85" s="235"/>
      <c r="J85" s="236">
        <v>23</v>
      </c>
    </row>
    <row r="86" spans="6:10" ht="24" customHeight="1" x14ac:dyDescent="0.3"/>
    <row r="87" spans="6:10" ht="24" customHeight="1" x14ac:dyDescent="0.3"/>
    <row r="88" spans="6:10" ht="24" customHeight="1" x14ac:dyDescent="0.3"/>
    <row r="89" spans="6:10" ht="24" customHeight="1" x14ac:dyDescent="0.3"/>
    <row r="90" spans="6:10" ht="24" customHeight="1" x14ac:dyDescent="0.3"/>
    <row r="91" spans="6:10" ht="24" customHeight="1" x14ac:dyDescent="0.3"/>
    <row r="92" spans="6:10" ht="24" customHeight="1" x14ac:dyDescent="0.3"/>
    <row r="93" spans="6:10" ht="24" customHeight="1" x14ac:dyDescent="0.3"/>
    <row r="94" spans="6:10" ht="24" customHeight="1" x14ac:dyDescent="0.3"/>
    <row r="95" spans="6:10" ht="24" customHeight="1" x14ac:dyDescent="0.3"/>
    <row r="96" spans="6:10" ht="24" customHeight="1" x14ac:dyDescent="0.3"/>
    <row r="97" spans="1:4" ht="24" customHeight="1" x14ac:dyDescent="0.3"/>
    <row r="98" spans="1:4" ht="24" customHeight="1" x14ac:dyDescent="0.3"/>
    <row r="99" spans="1:4" ht="24" customHeight="1" x14ac:dyDescent="0.3"/>
    <row r="100" spans="1:4" ht="24" customHeight="1" x14ac:dyDescent="0.3"/>
    <row r="101" spans="1:4" ht="24" customHeight="1" x14ac:dyDescent="0.3"/>
    <row r="102" spans="1:4" ht="24" customHeight="1" x14ac:dyDescent="0.3">
      <c r="A102" s="237"/>
      <c r="B102" s="237"/>
      <c r="C102" s="237"/>
      <c r="D102" s="237"/>
    </row>
    <row r="103" spans="1:4" ht="24" customHeight="1" x14ac:dyDescent="0.3">
      <c r="A103" s="237"/>
      <c r="B103" s="237"/>
      <c r="C103" s="237"/>
      <c r="D103" s="237"/>
    </row>
    <row r="104" spans="1:4" ht="24" customHeight="1" x14ac:dyDescent="0.3">
      <c r="A104" s="237"/>
      <c r="B104" s="237"/>
      <c r="C104" s="237"/>
      <c r="D104" s="237"/>
    </row>
    <row r="105" spans="1:4" ht="24" customHeight="1" x14ac:dyDescent="0.3">
      <c r="A105" s="237"/>
      <c r="B105" s="237"/>
      <c r="C105" s="237"/>
      <c r="D105" s="237"/>
    </row>
    <row r="106" spans="1:4" ht="24" customHeight="1" x14ac:dyDescent="0.3">
      <c r="A106" s="237"/>
      <c r="B106" s="237"/>
      <c r="C106" s="237"/>
      <c r="D106" s="237"/>
    </row>
    <row r="107" spans="1:4" x14ac:dyDescent="0.3">
      <c r="A107" s="237"/>
      <c r="B107" s="237"/>
      <c r="C107" s="237"/>
      <c r="D107" s="237"/>
    </row>
    <row r="108" spans="1:4" x14ac:dyDescent="0.3">
      <c r="A108" s="237"/>
      <c r="B108" s="237"/>
      <c r="C108" s="237"/>
      <c r="D108" s="237"/>
    </row>
  </sheetData>
  <sheetProtection algorithmName="SHA-512" hashValue="UI3lfsXF1P0mC1INvXR0VlBQA6Rq+VOSXi6dCFu5oLzVV2aOlySbXI8MrEEaJMcuBfN3mz9Gl6DXoGM14EcT/A==" saltValue="ysbbsp2FluTe8z+Y1/zE8A==" spinCount="100000" sheet="1" objects="1" scenarios="1"/>
  <protectedRanges>
    <protectedRange sqref="A14:A15" name="Range1"/>
    <protectedRange sqref="A9:A13" name="Range1_1"/>
  </protectedRanges>
  <mergeCells count="95">
    <mergeCell ref="F48:F49"/>
    <mergeCell ref="G48:J49"/>
    <mergeCell ref="F50:F51"/>
    <mergeCell ref="G50:J51"/>
    <mergeCell ref="F42:F43"/>
    <mergeCell ref="G42:J43"/>
    <mergeCell ref="F44:J44"/>
    <mergeCell ref="I45:J45"/>
    <mergeCell ref="F46:F47"/>
    <mergeCell ref="G46:J47"/>
    <mergeCell ref="I37:J37"/>
    <mergeCell ref="F38:F39"/>
    <mergeCell ref="G38:J39"/>
    <mergeCell ref="F40:F41"/>
    <mergeCell ref="G40:J41"/>
    <mergeCell ref="F20:J20"/>
    <mergeCell ref="I21:J21"/>
    <mergeCell ref="F22:F23"/>
    <mergeCell ref="G22:J23"/>
    <mergeCell ref="F24:F25"/>
    <mergeCell ref="G24:J25"/>
    <mergeCell ref="F14:J14"/>
    <mergeCell ref="I15:J15"/>
    <mergeCell ref="F16:F17"/>
    <mergeCell ref="G16:J17"/>
    <mergeCell ref="F18:F19"/>
    <mergeCell ref="G18:J19"/>
    <mergeCell ref="B72:D72"/>
    <mergeCell ref="G59:I59"/>
    <mergeCell ref="G60:I60"/>
    <mergeCell ref="G61:I61"/>
    <mergeCell ref="G62:I62"/>
    <mergeCell ref="G63:I63"/>
    <mergeCell ref="B71:D71"/>
    <mergeCell ref="B60:D60"/>
    <mergeCell ref="B68:D68"/>
    <mergeCell ref="B70:D70"/>
    <mergeCell ref="B64:D64"/>
    <mergeCell ref="B69:D69"/>
    <mergeCell ref="B65:D65"/>
    <mergeCell ref="B67:D67"/>
    <mergeCell ref="B66:D66"/>
    <mergeCell ref="B61:D61"/>
    <mergeCell ref="B50:D50"/>
    <mergeCell ref="B54:D54"/>
    <mergeCell ref="B57:D57"/>
    <mergeCell ref="B56:D56"/>
    <mergeCell ref="B51:D51"/>
    <mergeCell ref="B53:D53"/>
    <mergeCell ref="B55:D55"/>
    <mergeCell ref="B31:D31"/>
    <mergeCell ref="B46:D46"/>
    <mergeCell ref="B48:D48"/>
    <mergeCell ref="B49:D49"/>
    <mergeCell ref="B47:D47"/>
    <mergeCell ref="B44:D44"/>
    <mergeCell ref="B39:D39"/>
    <mergeCell ref="B32:D32"/>
    <mergeCell ref="B34:D34"/>
    <mergeCell ref="B35:D35"/>
    <mergeCell ref="B36:D36"/>
    <mergeCell ref="B37:D37"/>
    <mergeCell ref="B33:D33"/>
    <mergeCell ref="G55:I55"/>
    <mergeCell ref="G56:I56"/>
    <mergeCell ref="B23:D23"/>
    <mergeCell ref="G57:I57"/>
    <mergeCell ref="G58:I58"/>
    <mergeCell ref="F26:F27"/>
    <mergeCell ref="G26:J27"/>
    <mergeCell ref="F28:J28"/>
    <mergeCell ref="I29:J29"/>
    <mergeCell ref="F30:F31"/>
    <mergeCell ref="G30:J31"/>
    <mergeCell ref="F32:F33"/>
    <mergeCell ref="G32:J33"/>
    <mergeCell ref="F34:F35"/>
    <mergeCell ref="G34:J35"/>
    <mergeCell ref="F36:J36"/>
    <mergeCell ref="B62:D63"/>
    <mergeCell ref="B58:D58"/>
    <mergeCell ref="B59:D59"/>
    <mergeCell ref="A1:D1"/>
    <mergeCell ref="A2:D2"/>
    <mergeCell ref="A3:D3"/>
    <mergeCell ref="B26:D26"/>
    <mergeCell ref="B25:D25"/>
    <mergeCell ref="B27:D27"/>
    <mergeCell ref="B43:D43"/>
    <mergeCell ref="B30:D30"/>
    <mergeCell ref="B29:D29"/>
    <mergeCell ref="B40:D40"/>
    <mergeCell ref="B42:D42"/>
    <mergeCell ref="B41:D41"/>
    <mergeCell ref="B38:D38"/>
  </mergeCells>
  <conditionalFormatting sqref="B40:D40">
    <cfRule type="cellIs" dxfId="0" priority="1" operator="lessThan">
      <formula>2.1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0">
    <pageSetUpPr fitToPage="1"/>
  </sheetPr>
  <dimension ref="A1:T77"/>
  <sheetViews>
    <sheetView showZeros="0" zoomScale="80" zoomScaleNormal="80" zoomScaleSheetLayoutView="100" workbookViewId="0">
      <selection activeCell="J24" sqref="J24"/>
    </sheetView>
  </sheetViews>
  <sheetFormatPr defaultColWidth="12.42578125" defaultRowHeight="16.5" x14ac:dyDescent="0.3"/>
  <cols>
    <col min="1" max="1" width="17.5703125" style="99" customWidth="1"/>
    <col min="2" max="16" width="18.140625" style="99" customWidth="1"/>
    <col min="17" max="17" width="18" style="99" customWidth="1"/>
    <col min="18" max="19" width="15.140625" style="99" customWidth="1"/>
    <col min="20" max="22" width="14.7109375" style="99" customWidth="1"/>
    <col min="23" max="16384" width="12.42578125" style="99"/>
  </cols>
  <sheetData>
    <row r="1" spans="1:16" ht="34.5" customHeight="1" x14ac:dyDescent="0.35">
      <c r="F1" s="758" t="s">
        <v>61</v>
      </c>
      <c r="G1" s="759"/>
      <c r="H1" s="759"/>
      <c r="I1" s="759"/>
      <c r="J1" s="759"/>
      <c r="K1" s="747"/>
      <c r="L1" s="747"/>
      <c r="M1" s="100"/>
    </row>
    <row r="2" spans="1:16" ht="17.25" customHeight="1" thickBot="1" x14ac:dyDescent="0.35">
      <c r="G2" s="101"/>
      <c r="H2" s="99" t="s">
        <v>176</v>
      </c>
      <c r="I2" s="99" t="s">
        <v>177</v>
      </c>
      <c r="K2" s="99" t="s">
        <v>178</v>
      </c>
      <c r="O2" s="102" t="s">
        <v>179</v>
      </c>
      <c r="P2" s="103">
        <f>Sun!L3</f>
        <v>46061</v>
      </c>
    </row>
    <row r="3" spans="1:16" s="100" customFormat="1" ht="17.25" customHeight="1" thickBot="1" x14ac:dyDescent="0.35">
      <c r="A3" s="94" t="s">
        <v>180</v>
      </c>
      <c r="B3" s="94" t="s">
        <v>82</v>
      </c>
      <c r="C3" s="104" t="str">
        <f>Mon!A4</f>
        <v>BISTRO</v>
      </c>
      <c r="D3" s="94" t="str">
        <f>Mon!A11</f>
        <v>SPORTS BAR</v>
      </c>
      <c r="E3" s="105" t="s">
        <v>181</v>
      </c>
      <c r="F3" s="94" t="s">
        <v>182</v>
      </c>
      <c r="G3" s="94" t="s">
        <v>4</v>
      </c>
      <c r="H3" s="473" t="str">
        <f>Mon!A45</f>
        <v>BOTTLE SHOP</v>
      </c>
      <c r="I3" s="105" t="s">
        <v>183</v>
      </c>
      <c r="J3" s="105" t="s">
        <v>3</v>
      </c>
      <c r="K3" s="745" t="s">
        <v>184</v>
      </c>
      <c r="L3" s="746"/>
      <c r="M3" s="105" t="s">
        <v>17</v>
      </c>
      <c r="N3" s="94" t="s">
        <v>185</v>
      </c>
      <c r="O3" s="105" t="s">
        <v>186</v>
      </c>
      <c r="P3" s="94" t="s">
        <v>44</v>
      </c>
    </row>
    <row r="4" spans="1:16" s="100" customFormat="1" ht="17.25" customHeight="1" thickBot="1" x14ac:dyDescent="0.25">
      <c r="A4" s="106"/>
      <c r="B4" s="92"/>
      <c r="C4" s="107"/>
      <c r="D4" s="107"/>
      <c r="E4" s="107"/>
      <c r="F4" s="107"/>
      <c r="G4" s="107"/>
      <c r="H4" s="494"/>
      <c r="I4" s="107"/>
      <c r="J4" s="107"/>
      <c r="K4" s="92"/>
      <c r="L4" s="92"/>
      <c r="M4" s="92"/>
      <c r="N4" s="92"/>
      <c r="O4" s="92"/>
      <c r="P4" s="108"/>
    </row>
    <row r="5" spans="1:16" ht="17.25" customHeight="1" x14ac:dyDescent="0.3">
      <c r="A5" s="109">
        <f t="shared" ref="A5:A10" si="0">A6-1</f>
        <v>46055</v>
      </c>
      <c r="B5" s="110" t="s">
        <v>187</v>
      </c>
      <c r="C5" s="111">
        <f>Mon!J9</f>
        <v>0</v>
      </c>
      <c r="D5" s="112">
        <f>Mon!J16</f>
        <v>0</v>
      </c>
      <c r="E5" s="112">
        <f>Mon!J29+Mon!J58</f>
        <v>0</v>
      </c>
      <c r="F5" s="112">
        <f>Mon!J43</f>
        <v>0</v>
      </c>
      <c r="G5" s="112">
        <f>B49</f>
        <v>0</v>
      </c>
      <c r="H5" s="495">
        <f>Mon!J51</f>
        <v>0</v>
      </c>
      <c r="I5" s="112">
        <f>Mon!R19</f>
        <v>0</v>
      </c>
      <c r="J5" s="113">
        <f>Mon!O7</f>
        <v>0</v>
      </c>
      <c r="K5" s="752"/>
      <c r="L5" s="753"/>
      <c r="M5" s="114">
        <f>SUM(C5:J5)</f>
        <v>0</v>
      </c>
      <c r="N5" s="114">
        <f>T24</f>
        <v>0</v>
      </c>
      <c r="O5" s="115">
        <f>M5-N5</f>
        <v>0</v>
      </c>
      <c r="P5" s="116">
        <f>M5/11</f>
        <v>0</v>
      </c>
    </row>
    <row r="6" spans="1:16" ht="17.25" customHeight="1" x14ac:dyDescent="0.3">
      <c r="A6" s="117">
        <f t="shared" si="0"/>
        <v>46056</v>
      </c>
      <c r="B6" s="118" t="s">
        <v>188</v>
      </c>
      <c r="C6" s="119">
        <f>Tue!J9</f>
        <v>0</v>
      </c>
      <c r="D6" s="120">
        <f>Tue!J16</f>
        <v>0</v>
      </c>
      <c r="E6" s="120">
        <f>Tue!J29+Tue!J58</f>
        <v>0</v>
      </c>
      <c r="F6" s="120">
        <f>Tue!J43</f>
        <v>0</v>
      </c>
      <c r="G6" s="120">
        <f>C49</f>
        <v>0</v>
      </c>
      <c r="H6" s="496">
        <f>Tue!J51</f>
        <v>0</v>
      </c>
      <c r="I6" s="120">
        <f>Tue!R19</f>
        <v>0</v>
      </c>
      <c r="J6" s="121">
        <f>Tue!O7</f>
        <v>0</v>
      </c>
      <c r="K6" s="754"/>
      <c r="L6" s="755"/>
      <c r="M6" s="123">
        <f>SUM(C6:J6)</f>
        <v>0</v>
      </c>
      <c r="N6" s="123">
        <f t="shared" ref="N6:N11" si="1">T25</f>
        <v>0</v>
      </c>
      <c r="O6" s="124">
        <f>M6-N6</f>
        <v>0</v>
      </c>
      <c r="P6" s="125">
        <f t="shared" ref="P6:P11" si="2">M6/11</f>
        <v>0</v>
      </c>
    </row>
    <row r="7" spans="1:16" ht="17.25" customHeight="1" x14ac:dyDescent="0.3">
      <c r="A7" s="117">
        <f t="shared" si="0"/>
        <v>46057</v>
      </c>
      <c r="B7" s="118" t="s">
        <v>189</v>
      </c>
      <c r="C7" s="345">
        <f>Wed!J9</f>
        <v>0</v>
      </c>
      <c r="D7" s="120">
        <f>Wed!J16</f>
        <v>0</v>
      </c>
      <c r="E7" s="120">
        <f>Wed!J29+Wed!J58</f>
        <v>0</v>
      </c>
      <c r="F7" s="120">
        <f>Wed!J43</f>
        <v>0</v>
      </c>
      <c r="G7" s="120">
        <f>D49</f>
        <v>0</v>
      </c>
      <c r="H7" s="496">
        <f>Wed!J51</f>
        <v>0</v>
      </c>
      <c r="I7" s="120">
        <f>Wed!R19</f>
        <v>0</v>
      </c>
      <c r="J7" s="121">
        <f>Wed!O7</f>
        <v>0</v>
      </c>
      <c r="K7" s="754"/>
      <c r="L7" s="755"/>
      <c r="M7" s="123">
        <f t="shared" ref="M7:M10" si="3">SUM(C7:J7)</f>
        <v>0</v>
      </c>
      <c r="N7" s="123">
        <f t="shared" si="1"/>
        <v>0</v>
      </c>
      <c r="O7" s="124">
        <f t="shared" ref="O7:O10" si="4">M7-N7</f>
        <v>0</v>
      </c>
      <c r="P7" s="125">
        <f t="shared" si="2"/>
        <v>0</v>
      </c>
    </row>
    <row r="8" spans="1:16" ht="17.25" customHeight="1" x14ac:dyDescent="0.3">
      <c r="A8" s="117">
        <f t="shared" si="0"/>
        <v>46058</v>
      </c>
      <c r="B8" s="118" t="s">
        <v>190</v>
      </c>
      <c r="C8" s="119">
        <f>Thu!J9</f>
        <v>0</v>
      </c>
      <c r="D8" s="120">
        <f>Thu!J16</f>
        <v>0</v>
      </c>
      <c r="E8" s="120">
        <f>Thu!J29+Thu!J58</f>
        <v>0</v>
      </c>
      <c r="F8" s="120">
        <f>Thu!J43</f>
        <v>0</v>
      </c>
      <c r="G8" s="120">
        <f>E49</f>
        <v>0</v>
      </c>
      <c r="H8" s="496">
        <f>Thu!J51</f>
        <v>0</v>
      </c>
      <c r="I8" s="120">
        <f>Thu!R19</f>
        <v>0</v>
      </c>
      <c r="J8" s="121">
        <f>Thu!O7</f>
        <v>0</v>
      </c>
      <c r="K8" s="754"/>
      <c r="L8" s="755"/>
      <c r="M8" s="123">
        <f t="shared" si="3"/>
        <v>0</v>
      </c>
      <c r="N8" s="123">
        <f t="shared" si="1"/>
        <v>0</v>
      </c>
      <c r="O8" s="124">
        <f t="shared" si="4"/>
        <v>0</v>
      </c>
      <c r="P8" s="125">
        <f t="shared" si="2"/>
        <v>0</v>
      </c>
    </row>
    <row r="9" spans="1:16" ht="17.25" customHeight="1" x14ac:dyDescent="0.3">
      <c r="A9" s="117">
        <f t="shared" si="0"/>
        <v>46059</v>
      </c>
      <c r="B9" s="118" t="s">
        <v>191</v>
      </c>
      <c r="C9" s="119">
        <f>Fri!J9</f>
        <v>0</v>
      </c>
      <c r="D9" s="120">
        <f>Fri!J16</f>
        <v>0</v>
      </c>
      <c r="E9" s="120">
        <f>Fri!J29+Fri!J58</f>
        <v>0</v>
      </c>
      <c r="F9" s="120">
        <f>Fri!J43</f>
        <v>0</v>
      </c>
      <c r="G9" s="120">
        <f>F49</f>
        <v>0</v>
      </c>
      <c r="H9" s="496">
        <f>Fri!J51</f>
        <v>0</v>
      </c>
      <c r="I9" s="120">
        <f>Fri!R19</f>
        <v>0</v>
      </c>
      <c r="J9" s="121">
        <f>Fri!O7</f>
        <v>0</v>
      </c>
      <c r="K9" s="754"/>
      <c r="L9" s="755"/>
      <c r="M9" s="123">
        <f t="shared" si="3"/>
        <v>0</v>
      </c>
      <c r="N9" s="123">
        <f t="shared" si="1"/>
        <v>0</v>
      </c>
      <c r="O9" s="124">
        <f t="shared" si="4"/>
        <v>0</v>
      </c>
      <c r="P9" s="125">
        <f t="shared" si="2"/>
        <v>0</v>
      </c>
    </row>
    <row r="10" spans="1:16" ht="17.25" customHeight="1" x14ac:dyDescent="0.3">
      <c r="A10" s="117">
        <f t="shared" si="0"/>
        <v>46060</v>
      </c>
      <c r="B10" s="118" t="s">
        <v>192</v>
      </c>
      <c r="C10" s="119">
        <f>Sat!J9</f>
        <v>0</v>
      </c>
      <c r="D10" s="120">
        <f>Sat!J16</f>
        <v>0</v>
      </c>
      <c r="E10" s="120">
        <f>Sat!J29+Sat!J58</f>
        <v>0</v>
      </c>
      <c r="F10" s="120">
        <f>Sat!J43</f>
        <v>0</v>
      </c>
      <c r="G10" s="120">
        <f>G49</f>
        <v>0</v>
      </c>
      <c r="H10" s="496">
        <f>Sat!J51</f>
        <v>0</v>
      </c>
      <c r="I10" s="120">
        <f>Sat!R19</f>
        <v>0</v>
      </c>
      <c r="J10" s="121">
        <f>Sat!O7</f>
        <v>0</v>
      </c>
      <c r="K10" s="754"/>
      <c r="L10" s="755"/>
      <c r="M10" s="123">
        <f t="shared" si="3"/>
        <v>0</v>
      </c>
      <c r="N10" s="123">
        <f t="shared" si="1"/>
        <v>0</v>
      </c>
      <c r="O10" s="124">
        <f t="shared" si="4"/>
        <v>0</v>
      </c>
      <c r="P10" s="125">
        <f t="shared" si="2"/>
        <v>0</v>
      </c>
    </row>
    <row r="11" spans="1:16" ht="17.25" customHeight="1" thickBot="1" x14ac:dyDescent="0.35">
      <c r="A11" s="126">
        <f>P2</f>
        <v>46061</v>
      </c>
      <c r="B11" s="127" t="s">
        <v>193</v>
      </c>
      <c r="C11" s="128">
        <f>Sun!J9</f>
        <v>0</v>
      </c>
      <c r="D11" s="129">
        <f>Sun!J16</f>
        <v>0</v>
      </c>
      <c r="E11" s="129">
        <f>Sun!J29+Sun!J58</f>
        <v>0</v>
      </c>
      <c r="F11" s="129">
        <f>Sun!J43</f>
        <v>0</v>
      </c>
      <c r="G11" s="129">
        <f>H49</f>
        <v>0</v>
      </c>
      <c r="H11" s="497">
        <f>Sun!J51</f>
        <v>0</v>
      </c>
      <c r="I11" s="129">
        <f>Sun!R19</f>
        <v>0</v>
      </c>
      <c r="J11" s="130">
        <f>Sun!O7</f>
        <v>0</v>
      </c>
      <c r="K11" s="756" t="s">
        <v>194</v>
      </c>
      <c r="L11" s="757"/>
      <c r="M11" s="131">
        <f>SUM(C11:J11)</f>
        <v>0</v>
      </c>
      <c r="N11" s="131">
        <f t="shared" si="1"/>
        <v>0</v>
      </c>
      <c r="O11" s="344">
        <f>M11-N11</f>
        <v>0</v>
      </c>
      <c r="P11" s="132">
        <f t="shared" si="2"/>
        <v>0</v>
      </c>
    </row>
    <row r="12" spans="1:16" ht="17.25" customHeight="1" thickBot="1" x14ac:dyDescent="0.35">
      <c r="A12" s="748" t="s">
        <v>17</v>
      </c>
      <c r="B12" s="749"/>
      <c r="C12" s="133">
        <f>SUM(C5:C11)</f>
        <v>0</v>
      </c>
      <c r="D12" s="133">
        <f t="shared" ref="D12:J12" si="5">SUM(D5:D11)</f>
        <v>0</v>
      </c>
      <c r="E12" s="133">
        <f t="shared" si="5"/>
        <v>0</v>
      </c>
      <c r="F12" s="133">
        <f t="shared" si="5"/>
        <v>0</v>
      </c>
      <c r="G12" s="133">
        <f t="shared" si="5"/>
        <v>0</v>
      </c>
      <c r="H12" s="498">
        <f t="shared" si="5"/>
        <v>0</v>
      </c>
      <c r="I12" s="133">
        <f t="shared" si="5"/>
        <v>0</v>
      </c>
      <c r="J12" s="133">
        <f t="shared" si="5"/>
        <v>0</v>
      </c>
      <c r="K12" s="136"/>
      <c r="L12" s="137"/>
      <c r="M12" s="138">
        <f>SUM(M5:M11)</f>
        <v>0</v>
      </c>
      <c r="N12" s="139">
        <f>SUM(N5:N11)</f>
        <v>0</v>
      </c>
      <c r="O12" s="138">
        <f>SUM(O5:O11)</f>
        <v>0</v>
      </c>
      <c r="P12" s="140">
        <f>SUM(P5:P11)</f>
        <v>0</v>
      </c>
    </row>
    <row r="13" spans="1:16" ht="9" customHeight="1" thickBot="1" x14ac:dyDescent="0.35">
      <c r="A13" s="92"/>
      <c r="B13" s="92"/>
      <c r="C13" s="141"/>
      <c r="D13" s="141"/>
      <c r="E13" s="141"/>
      <c r="F13" s="141"/>
      <c r="G13" s="141"/>
      <c r="H13" s="141"/>
      <c r="I13" s="141"/>
      <c r="J13" s="142"/>
      <c r="K13" s="143"/>
      <c r="L13" s="143"/>
      <c r="M13" s="143"/>
      <c r="N13" s="143"/>
      <c r="O13" s="143"/>
      <c r="P13" s="143"/>
    </row>
    <row r="14" spans="1:16" ht="17.25" customHeight="1" thickBot="1" x14ac:dyDescent="0.35">
      <c r="A14" s="745" t="s">
        <v>44</v>
      </c>
      <c r="B14" s="751"/>
      <c r="C14" s="133">
        <f t="shared" ref="C14:J14" si="6">C12/11</f>
        <v>0</v>
      </c>
      <c r="D14" s="134">
        <f t="shared" si="6"/>
        <v>0</v>
      </c>
      <c r="E14" s="134">
        <f t="shared" si="6"/>
        <v>0</v>
      </c>
      <c r="F14" s="134">
        <f t="shared" si="6"/>
        <v>0</v>
      </c>
      <c r="G14" s="134">
        <f t="shared" si="6"/>
        <v>0</v>
      </c>
      <c r="H14" s="499">
        <f t="shared" si="6"/>
        <v>0</v>
      </c>
      <c r="I14" s="134">
        <f>I12/11</f>
        <v>0</v>
      </c>
      <c r="J14" s="135">
        <f t="shared" si="6"/>
        <v>0</v>
      </c>
      <c r="K14" s="144"/>
      <c r="L14" s="144"/>
      <c r="M14" s="138">
        <f>M12/11</f>
        <v>0</v>
      </c>
      <c r="N14" s="145"/>
      <c r="O14" s="93" t="s">
        <v>195</v>
      </c>
      <c r="P14" s="146">
        <f>M14-P12</f>
        <v>0</v>
      </c>
    </row>
    <row r="15" spans="1:16" ht="9" customHeight="1" thickBot="1" x14ac:dyDescent="0.35">
      <c r="A15" s="92"/>
      <c r="B15" s="92"/>
      <c r="C15" s="141"/>
      <c r="D15" s="141"/>
      <c r="E15" s="141"/>
      <c r="F15" s="141"/>
      <c r="G15" s="141"/>
      <c r="H15" s="141"/>
      <c r="I15" s="141"/>
      <c r="J15" s="142"/>
      <c r="K15" s="144"/>
      <c r="L15" s="144"/>
      <c r="M15" s="141"/>
      <c r="N15" s="145"/>
      <c r="O15" s="145"/>
      <c r="P15" s="145"/>
    </row>
    <row r="16" spans="1:16" ht="17.25" customHeight="1" thickBot="1" x14ac:dyDescent="0.35">
      <c r="A16" s="745" t="s">
        <v>196</v>
      </c>
      <c r="B16" s="750"/>
      <c r="C16" s="133">
        <f>C12-C14</f>
        <v>0</v>
      </c>
      <c r="D16" s="134">
        <f t="shared" ref="D16:J16" si="7">D12-D14</f>
        <v>0</v>
      </c>
      <c r="E16" s="134">
        <f t="shared" si="7"/>
        <v>0</v>
      </c>
      <c r="F16" s="134">
        <f t="shared" si="7"/>
        <v>0</v>
      </c>
      <c r="G16" s="134">
        <f t="shared" si="7"/>
        <v>0</v>
      </c>
      <c r="H16" s="499">
        <f t="shared" si="7"/>
        <v>0</v>
      </c>
      <c r="I16" s="134">
        <f t="shared" si="7"/>
        <v>0</v>
      </c>
      <c r="J16" s="135">
        <f t="shared" si="7"/>
        <v>0</v>
      </c>
      <c r="K16" s="144"/>
      <c r="L16" s="144"/>
      <c r="M16" s="138">
        <f>M12-M14</f>
        <v>0</v>
      </c>
      <c r="N16" s="145"/>
      <c r="O16" s="145"/>
      <c r="P16" s="145"/>
    </row>
    <row r="17" spans="1:20" ht="17.25" customHeight="1" thickBot="1" x14ac:dyDescent="0.35">
      <c r="A17" s="92"/>
      <c r="B17" s="92"/>
      <c r="C17" s="141"/>
      <c r="D17" s="141"/>
      <c r="E17" s="141"/>
      <c r="F17" s="141"/>
      <c r="G17" s="141"/>
      <c r="H17" s="141"/>
      <c r="I17" s="141"/>
      <c r="J17" s="141"/>
      <c r="K17" s="144"/>
      <c r="L17" s="144"/>
      <c r="M17" s="141"/>
      <c r="N17" s="145"/>
      <c r="O17" s="145"/>
      <c r="P17" s="145"/>
    </row>
    <row r="18" spans="1:20" ht="17.25" customHeight="1" thickBot="1" x14ac:dyDescent="0.35">
      <c r="A18" s="766" t="s">
        <v>197</v>
      </c>
      <c r="B18" s="767"/>
      <c r="C18" s="329"/>
      <c r="D18" s="330"/>
      <c r="E18" s="330"/>
      <c r="F18" s="330"/>
      <c r="G18" s="469"/>
      <c r="H18" s="469"/>
      <c r="I18" s="145"/>
      <c r="J18" s="145"/>
      <c r="K18" s="145"/>
      <c r="L18" s="145"/>
      <c r="M18" s="145"/>
      <c r="N18" s="145"/>
      <c r="O18" s="145"/>
      <c r="P18" s="145"/>
      <c r="Q18" s="145"/>
    </row>
    <row r="19" spans="1:20" ht="17.25" customHeight="1" thickBot="1" x14ac:dyDescent="0.35">
      <c r="A19" s="773" t="s">
        <v>198</v>
      </c>
      <c r="B19" s="774"/>
      <c r="C19" s="346">
        <f>SUM(Mon!D8+Tue!D8+Wed!D8+Thu!D8+Fri!D8+Sat!D8+Sun!D8)</f>
        <v>0</v>
      </c>
      <c r="D19" s="347">
        <f>SUM(Mon!D15+Tue!D15+Wed!D15+Thu!D15+Fri!D15+Sat!D15+Sun!D15)</f>
        <v>0</v>
      </c>
      <c r="E19" s="347">
        <f>SUM(Mon!D22+Mon!D28+Tue!D22+Tue!D28+Wed!D22+Wed!D28+Thu!D22+Thu!D28+Fri!D22+Fri!D28+Sat!D22+Sat!D28+Sun!D22+Sun!D28)+(Mon!D57+Tue!D57+Wed!D57+Thu!D57+Fri!D57+Sat!D57+Sun!D57)</f>
        <v>0</v>
      </c>
      <c r="F19" s="347">
        <f>SUM(Mon!D36+Mon!D42+Tue!D36+Tue!D42+Wed!D36+Wed!D42+Thu!D36+Thu!D42+Fri!D36+Fri!D42+Sat!D36+Sat!D42+Sun!D36+Sun!D42)</f>
        <v>0</v>
      </c>
      <c r="G19" s="470">
        <f>SUM(Mon!D57+Tue!D57+Wed!D57+Thu!D57+Fri!D57+Sat!D57+Sun!D57)</f>
        <v>0</v>
      </c>
      <c r="H19" s="470">
        <f>SUM(Mon!D50+Tue!D50+Wed!D50+Thu!D50+Fri!D50+Sat!D50+Sun!D50)</f>
        <v>0</v>
      </c>
      <c r="I19" s="145"/>
      <c r="J19" s="145"/>
      <c r="K19" s="145"/>
      <c r="L19" s="145"/>
      <c r="M19" s="145"/>
      <c r="N19" s="145"/>
      <c r="O19" s="145"/>
      <c r="P19" s="145"/>
      <c r="Q19" s="145"/>
    </row>
    <row r="20" spans="1:20" ht="17.25" customHeight="1" thickBot="1" x14ac:dyDescent="0.35">
      <c r="A20" s="773" t="s">
        <v>199</v>
      </c>
      <c r="B20" s="774"/>
      <c r="C20" s="348">
        <f>C18-C19</f>
        <v>0</v>
      </c>
      <c r="D20" s="349">
        <f>D18-D19</f>
        <v>0</v>
      </c>
      <c r="E20" s="349">
        <f t="shared" ref="E20" si="8">E18-E19</f>
        <v>0</v>
      </c>
      <c r="F20" s="349">
        <f>F18-F19</f>
        <v>0</v>
      </c>
      <c r="G20" s="471">
        <f>G18-G19</f>
        <v>0</v>
      </c>
      <c r="H20" s="471">
        <f>H18-H19</f>
        <v>0</v>
      </c>
      <c r="I20" s="145"/>
      <c r="J20" s="145"/>
      <c r="K20" s="145"/>
      <c r="L20" s="145"/>
      <c r="M20" s="145"/>
      <c r="N20" s="145"/>
      <c r="O20" s="145"/>
      <c r="P20" s="145"/>
      <c r="Q20" s="145"/>
    </row>
    <row r="21" spans="1:20" ht="17.25" customHeight="1" thickBot="1" x14ac:dyDescent="0.35">
      <c r="A21" s="768" t="s">
        <v>200</v>
      </c>
      <c r="B21" s="769"/>
      <c r="C21" s="350">
        <f>C12-C20</f>
        <v>0</v>
      </c>
      <c r="D21" s="351">
        <f>D12-D20</f>
        <v>0</v>
      </c>
      <c r="E21" s="351">
        <f t="shared" ref="E21" si="9">E12-E20</f>
        <v>0</v>
      </c>
      <c r="F21" s="351">
        <f>F12-F20</f>
        <v>0</v>
      </c>
      <c r="G21" s="328">
        <f>G12</f>
        <v>0</v>
      </c>
      <c r="H21" s="328">
        <f>H12-H20</f>
        <v>0</v>
      </c>
      <c r="I21" s="145"/>
      <c r="J21" s="145"/>
      <c r="K21" s="145"/>
      <c r="L21" s="145"/>
      <c r="M21" s="145"/>
      <c r="N21" s="145"/>
    </row>
    <row r="22" spans="1:20" ht="17.25" customHeight="1" thickBot="1" x14ac:dyDescent="0.35">
      <c r="A22" s="92"/>
      <c r="B22" s="145"/>
      <c r="C22" s="145"/>
      <c r="D22" s="92"/>
      <c r="E22" s="92"/>
      <c r="F22" s="92"/>
      <c r="G22" s="92"/>
      <c r="J22" s="92" t="s">
        <v>201</v>
      </c>
      <c r="K22" s="92"/>
    </row>
    <row r="23" spans="1:20" ht="17.25" customHeight="1" thickBot="1" x14ac:dyDescent="0.35">
      <c r="A23" s="149" t="s">
        <v>88</v>
      </c>
      <c r="B23" s="93" t="s">
        <v>40</v>
      </c>
      <c r="C23" s="97" t="s">
        <v>202</v>
      </c>
      <c r="D23" s="265" t="s">
        <v>29</v>
      </c>
      <c r="E23" s="266" t="s">
        <v>31</v>
      </c>
      <c r="F23" s="105" t="s">
        <v>203</v>
      </c>
      <c r="G23" s="94" t="s">
        <v>204</v>
      </c>
      <c r="H23" s="104" t="s">
        <v>39</v>
      </c>
      <c r="I23" s="92"/>
      <c r="J23" s="93" t="str">
        <f>C3</f>
        <v>BISTRO</v>
      </c>
      <c r="K23" s="93" t="str">
        <f>D3</f>
        <v>SPORTS BAR</v>
      </c>
      <c r="L23" s="473" t="s">
        <v>43</v>
      </c>
      <c r="M23" s="94" t="s">
        <v>37</v>
      </c>
      <c r="N23" s="94" t="s">
        <v>46</v>
      </c>
      <c r="O23" s="94" t="s">
        <v>47</v>
      </c>
      <c r="P23" s="94" t="s">
        <v>49</v>
      </c>
      <c r="Q23" s="473" t="s">
        <v>5</v>
      </c>
      <c r="R23" s="94" t="s">
        <v>12</v>
      </c>
      <c r="S23" s="94" t="s">
        <v>45</v>
      </c>
      <c r="T23" s="104" t="s">
        <v>17</v>
      </c>
    </row>
    <row r="24" spans="1:20" ht="17.25" customHeight="1" x14ac:dyDescent="0.3">
      <c r="A24" s="110" t="s">
        <v>187</v>
      </c>
      <c r="B24" s="151">
        <f>Mon!R20</f>
        <v>0</v>
      </c>
      <c r="C24" s="263">
        <f>Mon!R12</f>
        <v>0</v>
      </c>
      <c r="D24" s="179">
        <f>Mon!R13</f>
        <v>0</v>
      </c>
      <c r="E24" s="264">
        <f>Mon!R14</f>
        <v>0</v>
      </c>
      <c r="F24" s="151">
        <f>Mon!R15+Mon!R18</f>
        <v>0</v>
      </c>
      <c r="G24" s="152">
        <f>Mon!R16+Mon!R17</f>
        <v>0</v>
      </c>
      <c r="H24" s="153">
        <f>Mon!R19</f>
        <v>0</v>
      </c>
      <c r="I24" s="154"/>
      <c r="J24" s="157">
        <f>Mon!O24</f>
        <v>0</v>
      </c>
      <c r="K24" s="157">
        <f>Mon!O23</f>
        <v>0</v>
      </c>
      <c r="L24" s="500">
        <f>Mon!O25</f>
        <v>0</v>
      </c>
      <c r="M24" s="114">
        <f>Mon!O26</f>
        <v>0</v>
      </c>
      <c r="N24" s="114">
        <f>Mon!O27</f>
        <v>0</v>
      </c>
      <c r="O24" s="114">
        <f>Mon!O28</f>
        <v>0</v>
      </c>
      <c r="P24" s="114">
        <f>Mon!O29</f>
        <v>0</v>
      </c>
      <c r="Q24" s="500">
        <f>Mon!O30</f>
        <v>0</v>
      </c>
      <c r="R24" s="114">
        <f>Mon!R27</f>
        <v>0</v>
      </c>
      <c r="S24" s="114">
        <f>Mon!R26</f>
        <v>0</v>
      </c>
      <c r="T24" s="153">
        <f>SUM(J24:S24)</f>
        <v>0</v>
      </c>
    </row>
    <row r="25" spans="1:20" ht="17.25" customHeight="1" x14ac:dyDescent="0.3">
      <c r="A25" s="118" t="s">
        <v>188</v>
      </c>
      <c r="B25" s="122">
        <f>Tue!R20</f>
        <v>0</v>
      </c>
      <c r="C25" s="257">
        <f>Tue!R12</f>
        <v>0</v>
      </c>
      <c r="D25" s="95">
        <f>Tue!R13</f>
        <v>0</v>
      </c>
      <c r="E25" s="258">
        <f>Tue!R14</f>
        <v>0</v>
      </c>
      <c r="F25" s="122">
        <f>Tue!R15+Tue!R18</f>
        <v>0</v>
      </c>
      <c r="G25" s="123">
        <f>Tue!R16+Tue!R17</f>
        <v>0</v>
      </c>
      <c r="H25" s="125">
        <f>Tue!R19</f>
        <v>0</v>
      </c>
      <c r="I25" s="154"/>
      <c r="J25" s="158">
        <f>Tue!O24</f>
        <v>0</v>
      </c>
      <c r="K25" s="158">
        <f>Tue!O23</f>
        <v>0</v>
      </c>
      <c r="L25" s="501">
        <f>Tue!O25</f>
        <v>0</v>
      </c>
      <c r="M25" s="123">
        <f>Tue!O26</f>
        <v>0</v>
      </c>
      <c r="N25" s="123">
        <f>Tue!O27</f>
        <v>0</v>
      </c>
      <c r="O25" s="123">
        <f>Tue!O28</f>
        <v>0</v>
      </c>
      <c r="P25" s="123">
        <f>Tue!O29</f>
        <v>0</v>
      </c>
      <c r="Q25" s="504">
        <f>Tue!O30</f>
        <v>0</v>
      </c>
      <c r="R25" s="123">
        <f>Tue!R27</f>
        <v>0</v>
      </c>
      <c r="S25" s="123">
        <f>Tue!R26</f>
        <v>0</v>
      </c>
      <c r="T25" s="125">
        <f t="shared" ref="T25:T30" si="10">SUM(J25:S25)</f>
        <v>0</v>
      </c>
    </row>
    <row r="26" spans="1:20" ht="17.25" customHeight="1" x14ac:dyDescent="0.3">
      <c r="A26" s="118" t="s">
        <v>189</v>
      </c>
      <c r="B26" s="122">
        <f>Wed!R20</f>
        <v>0</v>
      </c>
      <c r="C26" s="257">
        <f>Wed!R12</f>
        <v>0</v>
      </c>
      <c r="D26" s="95">
        <f>Wed!R13</f>
        <v>0</v>
      </c>
      <c r="E26" s="258">
        <f>Wed!R14</f>
        <v>0</v>
      </c>
      <c r="F26" s="122">
        <f>Wed!R15+Wed!R18</f>
        <v>0</v>
      </c>
      <c r="G26" s="123">
        <f>Wed!R16+Wed!R17</f>
        <v>0</v>
      </c>
      <c r="H26" s="125">
        <f>Wed!R19</f>
        <v>0</v>
      </c>
      <c r="I26" s="154"/>
      <c r="J26" s="158">
        <f>Wed!O24</f>
        <v>0</v>
      </c>
      <c r="K26" s="158">
        <f>Wed!O23</f>
        <v>0</v>
      </c>
      <c r="L26" s="501">
        <f>Wed!O25</f>
        <v>0</v>
      </c>
      <c r="M26" s="123">
        <f>Wed!O26</f>
        <v>0</v>
      </c>
      <c r="N26" s="123">
        <f>Wed!O27</f>
        <v>0</v>
      </c>
      <c r="O26" s="123">
        <f>Wed!O28</f>
        <v>0</v>
      </c>
      <c r="P26" s="123">
        <f>Wed!O29</f>
        <v>0</v>
      </c>
      <c r="Q26" s="501">
        <f>Wed!O30</f>
        <v>0</v>
      </c>
      <c r="R26" s="123">
        <f>Wed!R27</f>
        <v>0</v>
      </c>
      <c r="S26" s="123">
        <f>Wed!R26</f>
        <v>0</v>
      </c>
      <c r="T26" s="125">
        <f t="shared" si="10"/>
        <v>0</v>
      </c>
    </row>
    <row r="27" spans="1:20" ht="17.25" customHeight="1" x14ac:dyDescent="0.3">
      <c r="A27" s="118" t="s">
        <v>190</v>
      </c>
      <c r="B27" s="122">
        <f>Thu!R20</f>
        <v>0</v>
      </c>
      <c r="C27" s="257">
        <f>Thu!R12</f>
        <v>0</v>
      </c>
      <c r="D27" s="95">
        <f>Thu!R13</f>
        <v>0</v>
      </c>
      <c r="E27" s="258">
        <f>Thu!R14</f>
        <v>0</v>
      </c>
      <c r="F27" s="122">
        <f>Thu!R15+Thu!R18</f>
        <v>0</v>
      </c>
      <c r="G27" s="123">
        <f>Thu!R16+Thu!R17</f>
        <v>0</v>
      </c>
      <c r="H27" s="125">
        <f>Thu!R19</f>
        <v>0</v>
      </c>
      <c r="I27" s="154"/>
      <c r="J27" s="158">
        <f>Thu!O24</f>
        <v>0</v>
      </c>
      <c r="K27" s="158">
        <f>Thu!O23</f>
        <v>0</v>
      </c>
      <c r="L27" s="501">
        <f>Thu!O25</f>
        <v>0</v>
      </c>
      <c r="M27" s="123">
        <f>Thu!O26</f>
        <v>0</v>
      </c>
      <c r="N27" s="123">
        <f>Thu!O27</f>
        <v>0</v>
      </c>
      <c r="O27" s="123">
        <f>Thu!O28</f>
        <v>0</v>
      </c>
      <c r="P27" s="123">
        <f>Thu!O29</f>
        <v>0</v>
      </c>
      <c r="Q27" s="501">
        <f>Thu!O30</f>
        <v>0</v>
      </c>
      <c r="R27" s="123">
        <f>Thu!R27</f>
        <v>0</v>
      </c>
      <c r="S27" s="123">
        <f>Thu!R26</f>
        <v>0</v>
      </c>
      <c r="T27" s="125">
        <f t="shared" si="10"/>
        <v>0</v>
      </c>
    </row>
    <row r="28" spans="1:20" ht="17.25" customHeight="1" x14ac:dyDescent="0.3">
      <c r="A28" s="118" t="s">
        <v>191</v>
      </c>
      <c r="B28" s="122">
        <f>Fri!R20</f>
        <v>0</v>
      </c>
      <c r="C28" s="257">
        <f>Fri!R12</f>
        <v>0</v>
      </c>
      <c r="D28" s="95">
        <f>Fri!R13</f>
        <v>0</v>
      </c>
      <c r="E28" s="258">
        <f>Fri!R14</f>
        <v>0</v>
      </c>
      <c r="F28" s="122">
        <f>Fri!R15+Fri!R18</f>
        <v>0</v>
      </c>
      <c r="G28" s="123">
        <f>Fri!R16+Fri!R17</f>
        <v>0</v>
      </c>
      <c r="H28" s="125">
        <f>Fri!R19</f>
        <v>0</v>
      </c>
      <c r="I28" s="154"/>
      <c r="J28" s="158">
        <f>Fri!O24</f>
        <v>0</v>
      </c>
      <c r="K28" s="158">
        <f>Fri!O23</f>
        <v>0</v>
      </c>
      <c r="L28" s="501">
        <f>Fri!O25</f>
        <v>0</v>
      </c>
      <c r="M28" s="123">
        <f>Fri!O26</f>
        <v>0</v>
      </c>
      <c r="N28" s="123">
        <f>Fri!O27</f>
        <v>0</v>
      </c>
      <c r="O28" s="123">
        <f>Fri!O28</f>
        <v>0</v>
      </c>
      <c r="P28" s="123">
        <f>Fri!O29</f>
        <v>0</v>
      </c>
      <c r="Q28" s="501">
        <f>Fri!O30</f>
        <v>0</v>
      </c>
      <c r="R28" s="123">
        <f>Fri!R27</f>
        <v>0</v>
      </c>
      <c r="S28" s="123">
        <f>Fri!R26</f>
        <v>0</v>
      </c>
      <c r="T28" s="125">
        <f>SUM(J28:S28)</f>
        <v>0</v>
      </c>
    </row>
    <row r="29" spans="1:20" ht="17.25" customHeight="1" x14ac:dyDescent="0.3">
      <c r="A29" s="118" t="s">
        <v>192</v>
      </c>
      <c r="B29" s="122">
        <f>Sat!R20</f>
        <v>0</v>
      </c>
      <c r="C29" s="257">
        <f>Sat!R12</f>
        <v>0</v>
      </c>
      <c r="D29" s="95">
        <f>Sat!R13</f>
        <v>0</v>
      </c>
      <c r="E29" s="258">
        <f>Sat!R14</f>
        <v>0</v>
      </c>
      <c r="F29" s="122">
        <f>Sat!R15+Sat!R18</f>
        <v>0</v>
      </c>
      <c r="G29" s="123">
        <f>Sat!R16+Sat!R17</f>
        <v>0</v>
      </c>
      <c r="H29" s="125">
        <f>Sat!R19</f>
        <v>0</v>
      </c>
      <c r="I29" s="154"/>
      <c r="J29" s="158">
        <f>Sat!O24</f>
        <v>0</v>
      </c>
      <c r="K29" s="158">
        <f>Sat!O23</f>
        <v>0</v>
      </c>
      <c r="L29" s="501">
        <f>Sat!O25</f>
        <v>0</v>
      </c>
      <c r="M29" s="123">
        <f>Sat!O26</f>
        <v>0</v>
      </c>
      <c r="N29" s="123">
        <f>Sat!O27</f>
        <v>0</v>
      </c>
      <c r="O29" s="123">
        <f>Sat!O28</f>
        <v>0</v>
      </c>
      <c r="P29" s="123">
        <f>Sat!O29</f>
        <v>0</v>
      </c>
      <c r="Q29" s="501">
        <f>Sat!O30</f>
        <v>0</v>
      </c>
      <c r="R29" s="123">
        <f>Sat!R27</f>
        <v>0</v>
      </c>
      <c r="S29" s="123">
        <f>Sat!R26</f>
        <v>0</v>
      </c>
      <c r="T29" s="125">
        <f t="shared" si="10"/>
        <v>0</v>
      </c>
    </row>
    <row r="30" spans="1:20" ht="17.25" customHeight="1" thickBot="1" x14ac:dyDescent="0.35">
      <c r="A30" s="127" t="s">
        <v>193</v>
      </c>
      <c r="B30" s="160">
        <f>Sun!R20</f>
        <v>0</v>
      </c>
      <c r="C30" s="259">
        <f>Sun!R12</f>
        <v>0</v>
      </c>
      <c r="D30" s="96">
        <f>Sun!R13</f>
        <v>0</v>
      </c>
      <c r="E30" s="260">
        <f>Sun!R14</f>
        <v>0</v>
      </c>
      <c r="F30" s="160">
        <f>Sun!R15+Sun!R18</f>
        <v>0</v>
      </c>
      <c r="G30" s="161">
        <f>Sun!R16+Sun!R17</f>
        <v>0</v>
      </c>
      <c r="H30" s="162">
        <f>Sun!R19</f>
        <v>0</v>
      </c>
      <c r="I30" s="154"/>
      <c r="J30" s="165">
        <f>Sun!O24</f>
        <v>0</v>
      </c>
      <c r="K30" s="165">
        <f>Sun!O23</f>
        <v>0</v>
      </c>
      <c r="L30" s="502">
        <f>Sun!O25</f>
        <v>0</v>
      </c>
      <c r="M30" s="161">
        <f>Sun!O26</f>
        <v>0</v>
      </c>
      <c r="N30" s="161">
        <f>Sun!O27</f>
        <v>0</v>
      </c>
      <c r="O30" s="161">
        <f>Sun!O28</f>
        <v>0</v>
      </c>
      <c r="P30" s="161">
        <f>Sun!O29</f>
        <v>0</v>
      </c>
      <c r="Q30" s="502">
        <f>Sun!O30</f>
        <v>0</v>
      </c>
      <c r="R30" s="161">
        <f>Sun!R27</f>
        <v>0</v>
      </c>
      <c r="S30" s="161">
        <f>Sun!R26</f>
        <v>0</v>
      </c>
      <c r="T30" s="125">
        <f t="shared" si="10"/>
        <v>0</v>
      </c>
    </row>
    <row r="31" spans="1:20" ht="17.25" customHeight="1" thickBot="1" x14ac:dyDescent="0.35">
      <c r="A31" s="166" t="s">
        <v>19</v>
      </c>
      <c r="B31" s="167">
        <f t="shared" ref="B31:G31" si="11">SUM(B24:B30)</f>
        <v>0</v>
      </c>
      <c r="C31" s="261">
        <f t="shared" si="11"/>
        <v>0</v>
      </c>
      <c r="D31" s="98">
        <f t="shared" si="11"/>
        <v>0</v>
      </c>
      <c r="E31" s="262">
        <f t="shared" si="11"/>
        <v>0</v>
      </c>
      <c r="F31" s="168">
        <f t="shared" si="11"/>
        <v>0</v>
      </c>
      <c r="G31" s="169">
        <f t="shared" si="11"/>
        <v>0</v>
      </c>
      <c r="H31" s="170">
        <f>SUM(H24:H30)</f>
        <v>0</v>
      </c>
      <c r="I31" s="154"/>
      <c r="J31" s="171">
        <f t="shared" ref="J31" si="12">SUM(J24:J30)</f>
        <v>0</v>
      </c>
      <c r="K31" s="171">
        <f t="shared" ref="K31" si="13">SUM(K24:K30)</f>
        <v>0</v>
      </c>
      <c r="L31" s="503">
        <f t="shared" ref="L31:Q31" si="14">SUM(L24:L30)</f>
        <v>0</v>
      </c>
      <c r="M31" s="172">
        <f t="shared" si="14"/>
        <v>0</v>
      </c>
      <c r="N31" s="172">
        <f t="shared" si="14"/>
        <v>0</v>
      </c>
      <c r="O31" s="172">
        <f t="shared" si="14"/>
        <v>0</v>
      </c>
      <c r="P31" s="172">
        <f t="shared" si="14"/>
        <v>0</v>
      </c>
      <c r="Q31" s="503">
        <f t="shared" si="14"/>
        <v>0</v>
      </c>
      <c r="R31" s="172">
        <f>SUM(R24:R30)</f>
        <v>0</v>
      </c>
      <c r="S31" s="172">
        <f>SUM(S24:S30)</f>
        <v>0</v>
      </c>
      <c r="T31" s="173">
        <f>SUM(T24:T30)</f>
        <v>0</v>
      </c>
    </row>
    <row r="32" spans="1:20" ht="17.25" customHeight="1" thickBot="1" x14ac:dyDescent="0.35">
      <c r="A32" s="174" t="s">
        <v>205</v>
      </c>
      <c r="B32" s="175"/>
      <c r="C32" s="176"/>
      <c r="D32" s="325"/>
      <c r="E32" s="326"/>
      <c r="F32" s="255"/>
      <c r="G32" s="176"/>
      <c r="H32" s="176"/>
      <c r="I32" s="177"/>
    </row>
    <row r="33" spans="1:17" ht="17.25" customHeight="1" thickBot="1" x14ac:dyDescent="0.35">
      <c r="A33" s="93" t="s">
        <v>200</v>
      </c>
      <c r="B33" s="178">
        <f t="shared" ref="B33:G33" si="15">B31-B32</f>
        <v>0</v>
      </c>
      <c r="C33" s="147">
        <f t="shared" si="15"/>
        <v>0</v>
      </c>
      <c r="D33" s="327">
        <f t="shared" si="15"/>
        <v>0</v>
      </c>
      <c r="E33" s="328">
        <f t="shared" si="15"/>
        <v>0</v>
      </c>
      <c r="F33" s="256">
        <f t="shared" si="15"/>
        <v>0</v>
      </c>
      <c r="G33" s="148">
        <f t="shared" si="15"/>
        <v>0</v>
      </c>
      <c r="H33" s="148" t="s">
        <v>206</v>
      </c>
    </row>
    <row r="34" spans="1:17" ht="17.25" customHeight="1" x14ac:dyDescent="0.3"/>
    <row r="35" spans="1:17" ht="17.25" customHeight="1" thickBot="1" x14ac:dyDescent="0.35">
      <c r="L35" s="92" t="s">
        <v>22</v>
      </c>
      <c r="Q35" s="92" t="s">
        <v>22</v>
      </c>
    </row>
    <row r="36" spans="1:17" ht="17.25" customHeight="1" thickBot="1" x14ac:dyDescent="0.35">
      <c r="A36" s="92" t="s">
        <v>207</v>
      </c>
      <c r="L36" s="149" t="s">
        <v>24</v>
      </c>
      <c r="M36" s="150" t="s">
        <v>34</v>
      </c>
      <c r="N36" s="94" t="s">
        <v>208</v>
      </c>
      <c r="O36" s="104" t="s">
        <v>209</v>
      </c>
      <c r="Q36" s="94" t="s">
        <v>45</v>
      </c>
    </row>
    <row r="37" spans="1:17" ht="17.25" customHeight="1" thickBot="1" x14ac:dyDescent="0.35">
      <c r="A37" s="149" t="s">
        <v>210</v>
      </c>
      <c r="B37" s="150" t="s">
        <v>211</v>
      </c>
      <c r="C37" s="94" t="s">
        <v>212</v>
      </c>
      <c r="D37" s="105" t="s">
        <v>209</v>
      </c>
      <c r="E37" s="775" t="s">
        <v>213</v>
      </c>
      <c r="F37" s="776"/>
      <c r="G37" s="776"/>
      <c r="H37" s="777"/>
      <c r="I37" s="777"/>
      <c r="J37" s="778"/>
      <c r="L37" s="155">
        <f>Mon!O15</f>
        <v>0</v>
      </c>
      <c r="M37" s="114">
        <f>Mon!O20</f>
        <v>0</v>
      </c>
      <c r="N37" s="156"/>
      <c r="O37" s="123">
        <f>SUM(M36:M37)-N36:N37</f>
        <v>0</v>
      </c>
      <c r="Q37" s="114">
        <f>Mon!R33</f>
        <v>0</v>
      </c>
    </row>
    <row r="38" spans="1:17" ht="17.25" customHeight="1" x14ac:dyDescent="0.3">
      <c r="A38" s="306" t="s">
        <v>40</v>
      </c>
      <c r="B38" s="309">
        <v>1000000</v>
      </c>
      <c r="C38" s="312">
        <f>B31</f>
        <v>0</v>
      </c>
      <c r="D38" s="314">
        <f>SUM(C38-B38)</f>
        <v>-1000000</v>
      </c>
      <c r="E38" s="770"/>
      <c r="F38" s="771"/>
      <c r="G38" s="771"/>
      <c r="H38" s="771"/>
      <c r="I38" s="771"/>
      <c r="J38" s="772"/>
      <c r="L38" s="158">
        <f>Tue!O15</f>
        <v>0</v>
      </c>
      <c r="M38" s="123">
        <f>Tue!O20</f>
        <v>0</v>
      </c>
      <c r="N38" s="159"/>
      <c r="O38" s="123">
        <f>SUM(M37:M38)-N37:N38</f>
        <v>0</v>
      </c>
      <c r="Q38" s="123">
        <f>Tue!R33</f>
        <v>0</v>
      </c>
    </row>
    <row r="39" spans="1:17" ht="17.25" customHeight="1" x14ac:dyDescent="0.3">
      <c r="A39" s="307" t="s">
        <v>214</v>
      </c>
      <c r="B39" s="310">
        <v>75000</v>
      </c>
      <c r="C39" s="313">
        <f>I46</f>
        <v>0</v>
      </c>
      <c r="D39" s="314">
        <f>C39-B39</f>
        <v>-75000</v>
      </c>
      <c r="E39" s="760"/>
      <c r="F39" s="761"/>
      <c r="G39" s="761"/>
      <c r="H39" s="761"/>
      <c r="I39" s="761"/>
      <c r="J39" s="762"/>
      <c r="L39" s="158">
        <f>Wed!O15</f>
        <v>0</v>
      </c>
      <c r="M39" s="123">
        <f>Wed!O20</f>
        <v>0</v>
      </c>
      <c r="N39" s="159"/>
      <c r="O39" s="123">
        <f>SUM(M37:M39)-N37:N39</f>
        <v>0</v>
      </c>
      <c r="Q39" s="123">
        <f>Wed!R33</f>
        <v>0</v>
      </c>
    </row>
    <row r="40" spans="1:17" ht="17.25" customHeight="1" x14ac:dyDescent="0.3">
      <c r="A40" s="307" t="s">
        <v>108</v>
      </c>
      <c r="B40" s="310">
        <v>0</v>
      </c>
      <c r="C40" s="313">
        <f>H12</f>
        <v>0</v>
      </c>
      <c r="D40" s="314">
        <f>C40-B40</f>
        <v>0</v>
      </c>
      <c r="E40" s="760"/>
      <c r="F40" s="761"/>
      <c r="G40" s="761"/>
      <c r="H40" s="761"/>
      <c r="I40" s="761"/>
      <c r="J40" s="762"/>
      <c r="L40" s="158">
        <f>Thu!O15</f>
        <v>0</v>
      </c>
      <c r="M40" s="123">
        <f>Thu!O20</f>
        <v>0</v>
      </c>
      <c r="N40" s="159"/>
      <c r="O40" s="123">
        <f>SUM(M37:M40)-N37:N40</f>
        <v>0</v>
      </c>
      <c r="Q40" s="123">
        <f>Thu!R33</f>
        <v>0</v>
      </c>
    </row>
    <row r="41" spans="1:17" ht="17.25" customHeight="1" x14ac:dyDescent="0.3">
      <c r="A41" s="307" t="s">
        <v>215</v>
      </c>
      <c r="B41" s="310">
        <v>32000</v>
      </c>
      <c r="C41" s="316"/>
      <c r="D41" s="314">
        <f>C41-B41</f>
        <v>-32000</v>
      </c>
      <c r="E41" s="760"/>
      <c r="F41" s="761"/>
      <c r="G41" s="761"/>
      <c r="H41" s="761"/>
      <c r="I41" s="761"/>
      <c r="J41" s="762"/>
      <c r="L41" s="158">
        <f>Fri!O15</f>
        <v>0</v>
      </c>
      <c r="M41" s="123">
        <f>Fri!O20</f>
        <v>0</v>
      </c>
      <c r="N41" s="159"/>
      <c r="O41" s="123">
        <f>SUM(M37:M41)-N37:N41</f>
        <v>0</v>
      </c>
      <c r="Q41" s="123">
        <f>Fri!R33</f>
        <v>0</v>
      </c>
    </row>
    <row r="42" spans="1:17" ht="17.25" customHeight="1" thickBot="1" x14ac:dyDescent="0.35">
      <c r="A42" s="308" t="s">
        <v>124</v>
      </c>
      <c r="B42" s="311">
        <v>3000</v>
      </c>
      <c r="C42" s="317"/>
      <c r="D42" s="315">
        <f>C42-B42</f>
        <v>-3000</v>
      </c>
      <c r="E42" s="763"/>
      <c r="F42" s="764"/>
      <c r="G42" s="764"/>
      <c r="H42" s="764"/>
      <c r="I42" s="764"/>
      <c r="J42" s="765"/>
      <c r="L42" s="158">
        <f>Sat!O15</f>
        <v>0</v>
      </c>
      <c r="M42" s="123">
        <f>Sat!O20</f>
        <v>0</v>
      </c>
      <c r="N42" s="159"/>
      <c r="O42" s="123">
        <f>SUM(M37:M42)-N37:N42</f>
        <v>0</v>
      </c>
      <c r="Q42" s="123">
        <f>Sat!R33</f>
        <v>0</v>
      </c>
    </row>
    <row r="43" spans="1:17" ht="17.25" customHeight="1" thickBot="1" x14ac:dyDescent="0.35">
      <c r="E43" s="318"/>
      <c r="L43" s="163">
        <f>Sun!O15</f>
        <v>0</v>
      </c>
      <c r="M43" s="131">
        <f>Sun!O20</f>
        <v>0</v>
      </c>
      <c r="N43" s="164"/>
      <c r="O43" s="131">
        <f>SUM(M37:M43)-N37:N43</f>
        <v>0</v>
      </c>
      <c r="Q43" s="131">
        <f>Sun!R33</f>
        <v>0</v>
      </c>
    </row>
    <row r="44" spans="1:17" ht="17.25" customHeight="1" thickBot="1" x14ac:dyDescent="0.35">
      <c r="L44" s="169">
        <f>SUM(L37:L43)</f>
        <v>0</v>
      </c>
      <c r="M44" s="442">
        <f>SUM(M37:M43)</f>
        <v>0</v>
      </c>
      <c r="N44" s="145"/>
      <c r="O44" s="145"/>
      <c r="P44" s="102" t="s">
        <v>17</v>
      </c>
      <c r="Q44" s="417">
        <f>SUM(Q37:Q43)</f>
        <v>0</v>
      </c>
    </row>
    <row r="45" spans="1:17" ht="17.25" customHeight="1" thickBot="1" x14ac:dyDescent="0.35">
      <c r="B45" s="182" t="s">
        <v>187</v>
      </c>
      <c r="C45" s="182" t="s">
        <v>188</v>
      </c>
      <c r="D45" s="92" t="s">
        <v>189</v>
      </c>
      <c r="E45" s="92" t="s">
        <v>190</v>
      </c>
      <c r="F45" s="92" t="s">
        <v>191</v>
      </c>
      <c r="G45" s="92" t="s">
        <v>192</v>
      </c>
      <c r="H45" s="92" t="s">
        <v>193</v>
      </c>
      <c r="I45" s="92" t="s">
        <v>17</v>
      </c>
      <c r="L45" s="443" t="s">
        <v>216</v>
      </c>
      <c r="M45" s="445"/>
      <c r="N45" s="145"/>
    </row>
    <row r="46" spans="1:17" ht="17.25" customHeight="1" thickBot="1" x14ac:dyDescent="0.35">
      <c r="A46" s="185" t="s">
        <v>217</v>
      </c>
      <c r="B46" s="186">
        <f>C5+D5+E5+F5</f>
        <v>0</v>
      </c>
      <c r="C46" s="187">
        <f>C6+D6+E6+F6</f>
        <v>0</v>
      </c>
      <c r="D46" s="188">
        <f>C7+D7+E7+F7</f>
        <v>0</v>
      </c>
      <c r="E46" s="187">
        <f>C8+D8+E8+F8</f>
        <v>0</v>
      </c>
      <c r="F46" s="188">
        <f>C9+D9+E9+F9</f>
        <v>0</v>
      </c>
      <c r="G46" s="187">
        <f>C10+D10+E10+F10</f>
        <v>0</v>
      </c>
      <c r="H46" s="189">
        <f>C11+D11+E11+F11</f>
        <v>0</v>
      </c>
      <c r="I46" s="187">
        <f t="shared" ref="I46:I51" si="16">SUM(B46:H46)</f>
        <v>0</v>
      </c>
      <c r="L46" s="444" t="s">
        <v>218</v>
      </c>
      <c r="M46" s="446"/>
      <c r="N46" s="145"/>
      <c r="O46" s="92" t="s">
        <v>219</v>
      </c>
    </row>
    <row r="47" spans="1:17" ht="17.25" customHeight="1" thickBot="1" x14ac:dyDescent="0.35">
      <c r="A47" s="185" t="s">
        <v>220</v>
      </c>
      <c r="B47" s="186">
        <f>Mon!K8+Mon!K15+Mon!K22+Mon!K28+Mon!K36+Mon!K42+Mon!K50+Mon!K57</f>
        <v>0</v>
      </c>
      <c r="C47" s="187">
        <f>Tue!K8+Tue!K15+Tue!K28+Tue!K42+Tue!K50+Tue!K22+Tue!K36+Tue!K57</f>
        <v>0</v>
      </c>
      <c r="D47" s="188">
        <f>Wed!K8+Wed!K15+Wed!K28+Wed!K42+Wed!K50+Wed!K22+Wed!K36+Wed!K57</f>
        <v>0</v>
      </c>
      <c r="E47" s="187">
        <f>Thu!K8+Thu!K15+Thu!K28+Thu!K42+Thu!K50+Thu!K22+Thu!K36+Thu!K57</f>
        <v>0</v>
      </c>
      <c r="F47" s="188">
        <f>Fri!K8+Fri!K15+Fri!K28+Fri!K42+Fri!K50+Fri!K22+Fri!K36+Fri!K57</f>
        <v>0</v>
      </c>
      <c r="G47" s="187">
        <f>Sat!K8+Sat!K15+Sat!K28+Sat!K42+Sat!K50+Sat!K22+Sat!K36+Sat!K57</f>
        <v>0</v>
      </c>
      <c r="H47" s="189">
        <f>Sun!K8+Sun!K15+Sun!K28+Sun!K42+Sun!K50+Sun!K22+Sun!K36+Sun!K57</f>
        <v>0</v>
      </c>
      <c r="I47" s="187">
        <f t="shared" si="16"/>
        <v>0</v>
      </c>
      <c r="L47" s="93" t="s">
        <v>17</v>
      </c>
      <c r="M47" s="169">
        <f>SUM(M45:M46)</f>
        <v>0</v>
      </c>
      <c r="N47" s="145"/>
      <c r="O47" s="172">
        <f>M44-M47</f>
        <v>0</v>
      </c>
    </row>
    <row r="48" spans="1:17" ht="17.25" customHeight="1" thickBot="1" x14ac:dyDescent="0.35">
      <c r="A48" s="185" t="s">
        <v>7</v>
      </c>
      <c r="B48" s="186">
        <f>Mon!D8+Mon!D15+Mon!D28+Mon!D42+Mon!D50+Mon!D22+Mon!D36+Mon!D57</f>
        <v>0</v>
      </c>
      <c r="C48" s="187">
        <f>Tue!D8+Tue!D15+Tue!D28+Tue!D42+Tue!D50+Tue!D22+Tue!D36+Tue!D57</f>
        <v>0</v>
      </c>
      <c r="D48" s="188">
        <f>Wed!D8+Wed!D15+Wed!D28+Wed!D42+Wed!D50+Wed!D22+Wed!D36+Wed!D57</f>
        <v>0</v>
      </c>
      <c r="E48" s="187">
        <f>Thu!D8+Thu!D15+Thu!D28+Thu!D42+Thu!D50+Thu!D22+Thu!D36+Thu!D57</f>
        <v>0</v>
      </c>
      <c r="F48" s="188">
        <f>Fri!D8+Fri!D15+Fri!D28+Fri!D42+Fri!D50+Fri!D22+Fri!D36+Fri!D57</f>
        <v>0</v>
      </c>
      <c r="G48" s="187">
        <f>Sat!D8+Sat!D15+Sat!D28+Sat!D42+Sat!D50+Sat!D22+Sat!D36+Sat!D57</f>
        <v>0</v>
      </c>
      <c r="H48" s="189">
        <f>Sun!D8+Sun!D15+Sun!D28+Sun!D42+Sun!D50+Sun!D22+Sun!D36+Sun!D57</f>
        <v>0</v>
      </c>
      <c r="I48" s="187">
        <f t="shared" si="16"/>
        <v>0</v>
      </c>
    </row>
    <row r="49" spans="1:15" ht="17.25" customHeight="1" thickBot="1" x14ac:dyDescent="0.35">
      <c r="A49" s="185" t="s">
        <v>4</v>
      </c>
      <c r="B49" s="186">
        <f>Mon!R9</f>
        <v>0</v>
      </c>
      <c r="C49" s="187">
        <f>Tue!R9</f>
        <v>0</v>
      </c>
      <c r="D49" s="188">
        <f>Wed!R9</f>
        <v>0</v>
      </c>
      <c r="E49" s="187">
        <f>Thu!R9</f>
        <v>0</v>
      </c>
      <c r="F49" s="188">
        <f>Fri!R9</f>
        <v>0</v>
      </c>
      <c r="G49" s="187">
        <f>Sat!R9</f>
        <v>0</v>
      </c>
      <c r="H49" s="189">
        <f>Sun!R9</f>
        <v>0</v>
      </c>
      <c r="I49" s="187">
        <f t="shared" si="16"/>
        <v>0</v>
      </c>
    </row>
    <row r="50" spans="1:15" ht="17.25" customHeight="1" thickBot="1" x14ac:dyDescent="0.35">
      <c r="A50" s="185" t="s">
        <v>221</v>
      </c>
      <c r="B50" s="186">
        <f>Mon!L8+Mon!L15+Mon!L28+Mon!L42+Mon!L50+Mon!L22+Mon!L36+Mon!L57</f>
        <v>0</v>
      </c>
      <c r="C50" s="187">
        <f>Tue!L8+Tue!L15+Tue!L28+Tue!L42+Tue!L50+Tue!L22+Tue!L36+Tue!L57</f>
        <v>0</v>
      </c>
      <c r="D50" s="188">
        <f>Wed!L8+Wed!L15+Wed!L28+Wed!L42+Wed!L50+Wed!L22+Wed!L36+Wed!L57</f>
        <v>0</v>
      </c>
      <c r="E50" s="187">
        <f>Thu!L8+Thu!L15+Thu!L28+Thu!L42+Thu!L50+Thu!L22+Thu!L36+Thu!L57</f>
        <v>0</v>
      </c>
      <c r="F50" s="188">
        <f>Fri!L8+Fri!L15+Fri!L28+Fri!L42+Fri!L50+Fri!L22+Fri!L36+Fri!L57</f>
        <v>0</v>
      </c>
      <c r="G50" s="187">
        <f>Sat!L8+Sat!L15+Sat!L28+Sat!L42+Sat!L50+Sat!L22+Sat!L36+Sat!L57</f>
        <v>0</v>
      </c>
      <c r="H50" s="189">
        <f>Sun!L8+Sun!L15+Sun!L28+Sun!L42+Sun!L50+Sun!L22+Sun!L36+Sun!L57</f>
        <v>0</v>
      </c>
      <c r="I50" s="187">
        <f t="shared" si="16"/>
        <v>0</v>
      </c>
    </row>
    <row r="51" spans="1:15" ht="17.25" customHeight="1" thickBot="1" x14ac:dyDescent="0.35">
      <c r="A51" s="185" t="s">
        <v>8</v>
      </c>
      <c r="B51" s="186">
        <f>Mon!E57+Mon!E50+Mon!E42+Mon!E36+Mon!E28+Mon!E22+Mon!E15+Mon!E8</f>
        <v>0</v>
      </c>
      <c r="C51" s="187">
        <f>Tue!E8+Tue!E15+Tue!E22+Tue!E28+Tue!E36+Tue!E42+Tue!E50+Tue!E57</f>
        <v>0</v>
      </c>
      <c r="D51" s="188">
        <f>Wed!E57+Wed!E50+Wed!E42+Wed!E36+Wed!E28+Wed!E22+Wed!E15+Wed!E8</f>
        <v>0</v>
      </c>
      <c r="E51" s="187">
        <f>Thu!E57+Thu!E50+Thu!E42+Thu!E36+Thu!E28+Thu!E22+Thu!E15+Thu!E8</f>
        <v>0</v>
      </c>
      <c r="F51" s="188">
        <f>Fri!E57+Fri!E50+Fri!E42+Fri!E36+Fri!E28+Fri!E22+Fri!E15+Fri!E8</f>
        <v>0</v>
      </c>
      <c r="G51" s="187">
        <f>Sat!E57+Sat!E50+Sat!E42+Sat!E36+Sat!E28+Sat!E22+Sat!E15+Sat!E8</f>
        <v>0</v>
      </c>
      <c r="H51" s="189">
        <f>Sun!E57+Sun!E50+Sun!E42+Sun!E36+Sun!E28+Sun!E22+Sun!E15+Sun!E8</f>
        <v>0</v>
      </c>
      <c r="I51" s="187">
        <f t="shared" si="16"/>
        <v>0</v>
      </c>
      <c r="L51" s="149" t="s">
        <v>4</v>
      </c>
      <c r="M51" s="94" t="s">
        <v>222</v>
      </c>
      <c r="N51" s="94" t="s">
        <v>223</v>
      </c>
      <c r="O51" s="94" t="s">
        <v>17</v>
      </c>
    </row>
    <row r="52" spans="1:15" x14ac:dyDescent="0.3">
      <c r="L52" s="110" t="s">
        <v>187</v>
      </c>
      <c r="M52" s="303">
        <f>'Mon diary'!B45</f>
        <v>0</v>
      </c>
      <c r="N52" s="303">
        <f>'Mon diary'!D45</f>
        <v>0</v>
      </c>
      <c r="O52" s="303">
        <f t="shared" ref="O52:O58" si="17">SUM(M52:N52)</f>
        <v>0</v>
      </c>
    </row>
    <row r="53" spans="1:15" ht="18" customHeight="1" thickBot="1" x14ac:dyDescent="0.35">
      <c r="I53" s="100" t="s">
        <v>224</v>
      </c>
      <c r="J53" s="100"/>
      <c r="L53" s="118" t="s">
        <v>188</v>
      </c>
      <c r="M53" s="304">
        <f>'Tue diary'!B45</f>
        <v>0</v>
      </c>
      <c r="N53" s="304">
        <f>'Tue diary'!D45</f>
        <v>0</v>
      </c>
      <c r="O53" s="304">
        <f t="shared" si="17"/>
        <v>0</v>
      </c>
    </row>
    <row r="54" spans="1:15" ht="18" customHeight="1" x14ac:dyDescent="0.3">
      <c r="I54" s="183" t="s">
        <v>225</v>
      </c>
      <c r="J54" s="184">
        <f>T31</f>
        <v>0</v>
      </c>
      <c r="L54" s="118" t="s">
        <v>189</v>
      </c>
      <c r="M54" s="304">
        <f>'Wed diary'!B45</f>
        <v>0</v>
      </c>
      <c r="N54" s="304">
        <f>'Wed diary'!D45</f>
        <v>0</v>
      </c>
      <c r="O54" s="304">
        <f t="shared" si="17"/>
        <v>0</v>
      </c>
    </row>
    <row r="55" spans="1:15" ht="18" customHeight="1" x14ac:dyDescent="0.3">
      <c r="I55" s="418" t="s">
        <v>226</v>
      </c>
      <c r="J55" s="191">
        <f>M46</f>
        <v>0</v>
      </c>
      <c r="L55" s="118" t="s">
        <v>190</v>
      </c>
      <c r="M55" s="304">
        <f>'Thu diary'!B45</f>
        <v>0</v>
      </c>
      <c r="N55" s="304">
        <f>'Thu diary'!D45</f>
        <v>0</v>
      </c>
      <c r="O55" s="304">
        <f t="shared" si="17"/>
        <v>0</v>
      </c>
    </row>
    <row r="56" spans="1:15" ht="18" customHeight="1" x14ac:dyDescent="0.3">
      <c r="I56" s="190" t="s">
        <v>227</v>
      </c>
      <c r="J56" s="191">
        <f>O8</f>
        <v>0</v>
      </c>
      <c r="L56" s="118" t="s">
        <v>191</v>
      </c>
      <c r="M56" s="304">
        <f>'Fri diary'!B45</f>
        <v>0</v>
      </c>
      <c r="N56" s="304">
        <f>'Fri diary'!D45</f>
        <v>0</v>
      </c>
      <c r="O56" s="304">
        <f t="shared" si="17"/>
        <v>0</v>
      </c>
    </row>
    <row r="57" spans="1:15" ht="18" customHeight="1" x14ac:dyDescent="0.3">
      <c r="I57" s="190" t="s">
        <v>228</v>
      </c>
      <c r="J57" s="191">
        <f>O11</f>
        <v>0</v>
      </c>
      <c r="L57" s="118" t="s">
        <v>192</v>
      </c>
      <c r="M57" s="304">
        <f>'Sat diary'!B45</f>
        <v>0</v>
      </c>
      <c r="N57" s="304">
        <f>'Sat diary'!D45</f>
        <v>0</v>
      </c>
      <c r="O57" s="304">
        <f t="shared" si="17"/>
        <v>0</v>
      </c>
    </row>
    <row r="58" spans="1:15" ht="18" customHeight="1" thickBot="1" x14ac:dyDescent="0.35">
      <c r="I58" s="419" t="s">
        <v>53</v>
      </c>
      <c r="J58" s="192">
        <f>Q44</f>
        <v>0</v>
      </c>
      <c r="L58" s="127" t="s">
        <v>193</v>
      </c>
      <c r="M58" s="441">
        <f>'Sun diary'!B45</f>
        <v>0</v>
      </c>
      <c r="N58" s="441">
        <f>'Sun diary'!D45</f>
        <v>0</v>
      </c>
      <c r="O58" s="441">
        <f t="shared" si="17"/>
        <v>0</v>
      </c>
    </row>
    <row r="59" spans="1:15" ht="18" customHeight="1" thickBot="1" x14ac:dyDescent="0.35">
      <c r="L59" s="166" t="s">
        <v>17</v>
      </c>
      <c r="M59" s="305">
        <f>SUM(M52:M58)</f>
        <v>0</v>
      </c>
      <c r="N59" s="305">
        <f>SUM(N52:N58)</f>
        <v>0</v>
      </c>
      <c r="O59" s="305">
        <f>SUM(O52:O58)</f>
        <v>0</v>
      </c>
    </row>
    <row r="60" spans="1:15" ht="18" customHeight="1" x14ac:dyDescent="0.3"/>
    <row r="61" spans="1:15" ht="18" customHeight="1" x14ac:dyDescent="0.3"/>
    <row r="62" spans="1:15" ht="18" customHeight="1" x14ac:dyDescent="0.3"/>
    <row r="63" spans="1:15" ht="18" customHeight="1" x14ac:dyDescent="0.3"/>
    <row r="64" spans="1:15" ht="18" customHeight="1" x14ac:dyDescent="0.3"/>
    <row r="65" ht="18" customHeight="1" x14ac:dyDescent="0.3"/>
    <row r="66" ht="18" customHeight="1" x14ac:dyDescent="0.3"/>
    <row r="67" ht="18" customHeight="1" x14ac:dyDescent="0.3"/>
    <row r="68" ht="18" customHeight="1" x14ac:dyDescent="0.3"/>
    <row r="69" ht="18" customHeight="1" x14ac:dyDescent="0.3"/>
    <row r="70" ht="18" customHeight="1" x14ac:dyDescent="0.3"/>
    <row r="71" ht="18" customHeight="1" x14ac:dyDescent="0.3"/>
    <row r="72" ht="18" customHeight="1" x14ac:dyDescent="0.3"/>
    <row r="73" ht="18" customHeight="1" x14ac:dyDescent="0.3"/>
    <row r="74" ht="18" customHeight="1" x14ac:dyDescent="0.3"/>
    <row r="75" ht="18" customHeight="1" x14ac:dyDescent="0.3"/>
    <row r="76" ht="18" customHeight="1" x14ac:dyDescent="0.3"/>
    <row r="77" ht="18" customHeight="1" x14ac:dyDescent="0.3"/>
  </sheetData>
  <sheetProtection algorithmName="SHA-512" hashValue="g+c4mnYTyk74IyitPEQ/Vo4FCueAioX7QRdG38quINdS9kqjoDYWiTnF+Y3ci0GlbKnKJMYS3MI5nEJRZpr7JA==" saltValue="wMXvfPIT9G877oxQuxeM4A==" spinCount="100000" sheet="1" objects="1" scenarios="1"/>
  <customSheetViews>
    <customSheetView guid="{B89DCFC0-6E0C-11D4-922A-006067718123}" showRuler="0" topLeftCell="D3">
      <selection activeCell="M18" sqref="M18"/>
      <pageMargins left="0" right="0" top="0" bottom="0" header="0" footer="0"/>
      <printOptions gridLines="1"/>
      <pageSetup paperSize="9" orientation="landscape" verticalDpi="0" r:id="rId1"/>
      <headerFooter alignWithMargins="0">
        <oddHeader>&amp;L&amp;"Arial,Bold"Thomas Hotels Confidential&amp;CTOLLGATE HOTEL PARRAMATTA&amp;RPage &amp;P</oddHeader>
      </headerFooter>
    </customSheetView>
  </customSheetViews>
  <mergeCells count="23">
    <mergeCell ref="E41:J41"/>
    <mergeCell ref="E42:J42"/>
    <mergeCell ref="A18:B18"/>
    <mergeCell ref="A21:B21"/>
    <mergeCell ref="E38:J38"/>
    <mergeCell ref="E39:J39"/>
    <mergeCell ref="E40:J40"/>
    <mergeCell ref="A20:B20"/>
    <mergeCell ref="A19:B19"/>
    <mergeCell ref="E37:J37"/>
    <mergeCell ref="K3:L3"/>
    <mergeCell ref="K1:L1"/>
    <mergeCell ref="A12:B12"/>
    <mergeCell ref="A16:B16"/>
    <mergeCell ref="A14:B14"/>
    <mergeCell ref="K5:L5"/>
    <mergeCell ref="K6:L6"/>
    <mergeCell ref="K7:L7"/>
    <mergeCell ref="K8:L8"/>
    <mergeCell ref="K10:L10"/>
    <mergeCell ref="K11:L11"/>
    <mergeCell ref="F1:J1"/>
    <mergeCell ref="K9:L9"/>
  </mergeCells>
  <phoneticPr fontId="0" type="noConversion"/>
  <pageMargins left="0.23622047244094491" right="0.23622047244094491" top="0.19685039370078741" bottom="0.19685039370078741" header="0.11811023622047245" footer="0"/>
  <pageSetup paperSize="9" scale="47" orientation="landscape" r:id="rId2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A1:BM57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H17" sqref="H17"/>
    </sheetView>
  </sheetViews>
  <sheetFormatPr defaultColWidth="9.140625" defaultRowHeight="13.5" x14ac:dyDescent="0.25"/>
  <cols>
    <col min="1" max="1" width="19.5703125" style="406" customWidth="1"/>
    <col min="2" max="18" width="14.5703125" style="364" customWidth="1"/>
    <col min="19" max="19" width="15" style="364" customWidth="1"/>
    <col min="20" max="20" width="14.5703125" style="364" customWidth="1"/>
    <col min="21" max="21" width="14" style="364" customWidth="1"/>
    <col min="22" max="22" width="14.7109375" style="364" customWidth="1"/>
    <col min="23" max="23" width="13.42578125" style="364" customWidth="1"/>
    <col min="24" max="65" width="14.5703125" style="364" customWidth="1"/>
    <col min="66" max="16384" width="9.140625" style="364"/>
  </cols>
  <sheetData>
    <row r="1" spans="1:65" ht="33.75" customHeight="1" thickBot="1" x14ac:dyDescent="0.3">
      <c r="A1" s="779" t="s">
        <v>229</v>
      </c>
      <c r="B1" s="779"/>
      <c r="C1" s="779"/>
      <c r="D1" s="779"/>
      <c r="E1" s="779"/>
      <c r="F1" s="779"/>
      <c r="G1" s="779"/>
      <c r="H1" s="779"/>
      <c r="I1" s="779"/>
    </row>
    <row r="2" spans="1:65" x14ac:dyDescent="0.25">
      <c r="A2" s="365" t="s">
        <v>82</v>
      </c>
      <c r="B2" s="366" t="s">
        <v>64</v>
      </c>
      <c r="C2" s="366" t="s">
        <v>64</v>
      </c>
      <c r="D2" s="366"/>
      <c r="E2" s="366"/>
      <c r="F2" s="366"/>
      <c r="G2" s="366"/>
      <c r="H2" s="366"/>
      <c r="I2" s="366"/>
      <c r="J2" s="366"/>
      <c r="K2" s="366"/>
      <c r="L2" s="366"/>
      <c r="M2" s="366"/>
      <c r="N2" s="366"/>
      <c r="O2" s="366"/>
      <c r="P2" s="366"/>
      <c r="Q2" s="366"/>
      <c r="R2" s="366"/>
      <c r="S2" s="366"/>
      <c r="T2" s="366"/>
      <c r="U2" s="366"/>
      <c r="V2" s="366"/>
      <c r="W2" s="367"/>
      <c r="X2" s="366"/>
      <c r="Y2" s="366"/>
      <c r="Z2" s="366"/>
      <c r="AA2" s="366"/>
      <c r="AB2" s="366"/>
      <c r="AC2" s="366"/>
      <c r="AD2" s="366"/>
      <c r="AE2" s="366"/>
      <c r="AF2" s="366"/>
      <c r="AG2" s="366"/>
      <c r="AH2" s="366"/>
      <c r="AI2" s="366"/>
      <c r="AJ2" s="366"/>
      <c r="AK2" s="366"/>
      <c r="AL2" s="366"/>
      <c r="AM2" s="366"/>
      <c r="AN2" s="366"/>
      <c r="AO2" s="366"/>
      <c r="AP2" s="366"/>
      <c r="AQ2" s="366"/>
      <c r="AR2" s="366"/>
      <c r="AS2" s="366"/>
      <c r="AT2" s="366"/>
      <c r="AU2" s="366"/>
      <c r="AV2" s="366"/>
      <c r="AW2" s="366"/>
      <c r="AX2" s="366"/>
      <c r="AY2" s="366"/>
      <c r="AZ2" s="366"/>
      <c r="BA2" s="366"/>
      <c r="BB2" s="366"/>
      <c r="BC2" s="366"/>
      <c r="BD2" s="366"/>
      <c r="BE2" s="366"/>
      <c r="BF2" s="366"/>
      <c r="BG2" s="366"/>
      <c r="BH2" s="366"/>
      <c r="BI2" s="366"/>
      <c r="BJ2" s="366"/>
      <c r="BK2" s="366"/>
      <c r="BL2" s="366"/>
      <c r="BM2" s="366"/>
    </row>
    <row r="3" spans="1:65" s="371" customFormat="1" x14ac:dyDescent="0.25">
      <c r="A3" s="368" t="s">
        <v>180</v>
      </c>
      <c r="B3" s="369">
        <v>46041</v>
      </c>
      <c r="C3" s="369"/>
      <c r="D3" s="369"/>
      <c r="E3" s="369"/>
      <c r="F3" s="369"/>
      <c r="G3" s="369"/>
      <c r="H3" s="369"/>
      <c r="I3" s="369"/>
      <c r="J3" s="369"/>
      <c r="K3" s="369"/>
      <c r="L3" s="369"/>
      <c r="M3" s="369"/>
      <c r="N3" s="369"/>
      <c r="O3" s="369"/>
      <c r="P3" s="369"/>
      <c r="Q3" s="369"/>
      <c r="R3" s="369"/>
      <c r="S3" s="369"/>
      <c r="T3" s="369"/>
      <c r="U3" s="369"/>
      <c r="V3" s="369"/>
      <c r="W3" s="370"/>
      <c r="X3" s="369"/>
      <c r="Y3" s="369"/>
      <c r="Z3" s="369"/>
      <c r="AA3" s="369"/>
      <c r="AB3" s="369"/>
      <c r="AC3" s="369"/>
      <c r="AD3" s="369"/>
      <c r="AE3" s="369"/>
      <c r="AF3" s="369"/>
      <c r="AG3" s="369"/>
      <c r="AH3" s="369"/>
      <c r="AI3" s="369"/>
      <c r="AJ3" s="369"/>
      <c r="AK3" s="369"/>
      <c r="AL3" s="369"/>
      <c r="AM3" s="369"/>
      <c r="AN3" s="369"/>
      <c r="AO3" s="369"/>
      <c r="AP3" s="369"/>
      <c r="AQ3" s="369"/>
      <c r="AR3" s="369"/>
      <c r="AS3" s="369"/>
      <c r="AT3" s="369"/>
      <c r="AU3" s="369"/>
      <c r="AV3" s="369"/>
      <c r="AW3" s="369"/>
      <c r="AX3" s="369"/>
      <c r="AY3" s="369"/>
      <c r="AZ3" s="369"/>
      <c r="BA3" s="369"/>
      <c r="BB3" s="369"/>
      <c r="BC3" s="369"/>
      <c r="BD3" s="369"/>
      <c r="BE3" s="369"/>
      <c r="BF3" s="369"/>
      <c r="BG3" s="369"/>
      <c r="BH3" s="369"/>
      <c r="BI3" s="369"/>
      <c r="BJ3" s="369"/>
      <c r="BK3" s="369"/>
      <c r="BL3" s="369"/>
      <c r="BM3" s="369"/>
    </row>
    <row r="4" spans="1:65" ht="14.25" thickBot="1" x14ac:dyDescent="0.3">
      <c r="A4" s="372" t="s">
        <v>230</v>
      </c>
      <c r="B4" s="373" t="s">
        <v>231</v>
      </c>
      <c r="C4" s="373"/>
      <c r="D4" s="373"/>
      <c r="E4" s="373"/>
      <c r="F4" s="373"/>
      <c r="G4" s="373"/>
      <c r="H4" s="373"/>
      <c r="I4" s="373"/>
      <c r="J4" s="373"/>
      <c r="K4" s="374"/>
      <c r="L4" s="373"/>
      <c r="M4" s="373"/>
      <c r="N4" s="373"/>
      <c r="O4" s="373"/>
      <c r="P4" s="374"/>
      <c r="Q4" s="373"/>
      <c r="R4" s="373"/>
      <c r="S4" s="374"/>
      <c r="T4" s="373"/>
      <c r="U4" s="374"/>
      <c r="V4" s="374"/>
      <c r="W4" s="375"/>
      <c r="X4" s="373"/>
      <c r="Y4" s="373"/>
      <c r="Z4" s="373"/>
      <c r="AA4" s="373"/>
      <c r="AB4" s="373"/>
      <c r="AC4" s="373"/>
      <c r="AD4" s="373"/>
      <c r="AE4" s="373"/>
      <c r="AF4" s="374"/>
      <c r="AG4" s="373"/>
      <c r="AH4" s="373"/>
      <c r="AI4" s="373"/>
      <c r="AJ4" s="373"/>
      <c r="AK4" s="374"/>
      <c r="AL4" s="373"/>
      <c r="AM4" s="373"/>
      <c r="AN4" s="373"/>
      <c r="AO4" s="373"/>
      <c r="AP4" s="373"/>
      <c r="AQ4" s="373"/>
      <c r="AR4" s="373"/>
      <c r="AS4" s="373"/>
      <c r="AT4" s="374"/>
      <c r="AU4" s="373"/>
      <c r="AV4" s="373"/>
      <c r="AW4" s="373"/>
      <c r="AX4" s="373"/>
      <c r="AY4" s="374"/>
      <c r="AZ4" s="373"/>
      <c r="BA4" s="373"/>
      <c r="BB4" s="373"/>
      <c r="BC4" s="373"/>
      <c r="BD4" s="373"/>
      <c r="BE4" s="373"/>
      <c r="BF4" s="373"/>
      <c r="BG4" s="373"/>
      <c r="BH4" s="374"/>
      <c r="BI4" s="373"/>
      <c r="BJ4" s="373"/>
      <c r="BK4" s="373"/>
      <c r="BL4" s="373"/>
      <c r="BM4" s="374"/>
    </row>
    <row r="5" spans="1:65" x14ac:dyDescent="0.25">
      <c r="A5" s="365" t="s">
        <v>232</v>
      </c>
      <c r="B5" s="376">
        <v>97500</v>
      </c>
      <c r="C5" s="376">
        <v>97500</v>
      </c>
      <c r="D5" s="376">
        <v>87500</v>
      </c>
      <c r="E5" s="376">
        <v>87500</v>
      </c>
      <c r="F5" s="376">
        <v>87500</v>
      </c>
      <c r="G5" s="376">
        <v>87500</v>
      </c>
      <c r="H5" s="376">
        <v>87500</v>
      </c>
      <c r="I5" s="376">
        <v>87500</v>
      </c>
      <c r="J5" s="376">
        <v>97500</v>
      </c>
      <c r="K5" s="376">
        <v>97500</v>
      </c>
      <c r="L5" s="376">
        <v>97500</v>
      </c>
      <c r="M5" s="376">
        <v>97500</v>
      </c>
      <c r="N5" s="376">
        <v>97500</v>
      </c>
      <c r="O5" s="376">
        <v>97500</v>
      </c>
      <c r="P5" s="376">
        <v>97500</v>
      </c>
      <c r="Q5" s="376">
        <v>97500</v>
      </c>
      <c r="R5" s="376">
        <v>97500</v>
      </c>
      <c r="S5" s="376">
        <v>97500</v>
      </c>
      <c r="T5" s="376">
        <v>97500</v>
      </c>
      <c r="U5" s="376">
        <v>97500</v>
      </c>
      <c r="V5" s="376">
        <v>97500</v>
      </c>
      <c r="W5" s="377">
        <v>97500</v>
      </c>
      <c r="X5" s="376">
        <v>97500</v>
      </c>
      <c r="Y5" s="376">
        <v>97500</v>
      </c>
      <c r="Z5" s="376">
        <v>97500</v>
      </c>
      <c r="AA5" s="376">
        <v>97500</v>
      </c>
      <c r="AB5" s="376">
        <v>97500</v>
      </c>
      <c r="AC5" s="376">
        <v>97500</v>
      </c>
      <c r="AD5" s="376">
        <v>97500</v>
      </c>
      <c r="AE5" s="376">
        <v>97500</v>
      </c>
      <c r="AF5" s="376">
        <v>97500</v>
      </c>
      <c r="AG5" s="376">
        <v>97500</v>
      </c>
      <c r="AH5" s="376">
        <v>97500</v>
      </c>
      <c r="AI5" s="376">
        <v>97500</v>
      </c>
      <c r="AJ5" s="376">
        <v>97500</v>
      </c>
      <c r="AK5" s="376">
        <v>97500</v>
      </c>
      <c r="AL5" s="376">
        <v>97500</v>
      </c>
      <c r="AM5" s="376">
        <v>97500</v>
      </c>
      <c r="AN5" s="376">
        <v>97500</v>
      </c>
      <c r="AO5" s="376">
        <v>97500</v>
      </c>
      <c r="AP5" s="376">
        <v>97500</v>
      </c>
      <c r="AQ5" s="376">
        <v>97500</v>
      </c>
      <c r="AR5" s="376">
        <v>97500</v>
      </c>
      <c r="AS5" s="376">
        <v>97500</v>
      </c>
      <c r="AT5" s="376">
        <v>97500</v>
      </c>
      <c r="AU5" s="376">
        <v>97500</v>
      </c>
      <c r="AV5" s="376">
        <v>97500</v>
      </c>
      <c r="AW5" s="376">
        <v>97500</v>
      </c>
      <c r="AX5" s="376">
        <v>97500</v>
      </c>
      <c r="AY5" s="376">
        <v>97500</v>
      </c>
      <c r="AZ5" s="376">
        <v>97500</v>
      </c>
      <c r="BA5" s="376">
        <v>97500</v>
      </c>
      <c r="BB5" s="376">
        <v>97500</v>
      </c>
      <c r="BC5" s="376">
        <v>97500</v>
      </c>
      <c r="BD5" s="376">
        <v>97500</v>
      </c>
      <c r="BE5" s="376">
        <v>97500</v>
      </c>
      <c r="BF5" s="376">
        <v>97500</v>
      </c>
      <c r="BG5" s="376">
        <v>97500</v>
      </c>
      <c r="BH5" s="376">
        <v>97500</v>
      </c>
      <c r="BI5" s="376">
        <v>97500</v>
      </c>
      <c r="BJ5" s="376">
        <v>97500</v>
      </c>
      <c r="BK5" s="376">
        <v>97500</v>
      </c>
      <c r="BL5" s="376">
        <v>97500</v>
      </c>
      <c r="BM5" s="376">
        <v>97500</v>
      </c>
    </row>
    <row r="6" spans="1:65" x14ac:dyDescent="0.25">
      <c r="A6" s="379"/>
      <c r="B6" s="380"/>
      <c r="C6" s="380"/>
      <c r="D6" s="380"/>
      <c r="E6" s="380"/>
      <c r="F6" s="380"/>
      <c r="G6" s="380"/>
      <c r="H6" s="380"/>
      <c r="I6" s="380"/>
      <c r="J6" s="380"/>
      <c r="K6" s="380"/>
      <c r="L6" s="380"/>
      <c r="M6" s="380"/>
      <c r="N6" s="380"/>
      <c r="O6" s="380"/>
      <c r="P6" s="380"/>
      <c r="Q6" s="380"/>
      <c r="R6" s="380"/>
      <c r="S6" s="380"/>
      <c r="T6" s="380"/>
      <c r="U6" s="380"/>
      <c r="V6" s="380"/>
      <c r="W6" s="381"/>
      <c r="X6" s="380"/>
      <c r="Y6" s="380"/>
      <c r="Z6" s="380"/>
      <c r="AA6" s="380"/>
      <c r="AB6" s="380"/>
      <c r="AC6" s="380"/>
      <c r="AD6" s="380"/>
      <c r="AE6" s="380"/>
      <c r="AF6" s="380"/>
      <c r="AG6" s="380"/>
      <c r="AH6" s="380"/>
      <c r="AI6" s="380"/>
      <c r="AJ6" s="380"/>
      <c r="AK6" s="380"/>
      <c r="AL6" s="380"/>
      <c r="AM6" s="380"/>
      <c r="AN6" s="380"/>
      <c r="AO6" s="380"/>
      <c r="AP6" s="380"/>
      <c r="AQ6" s="380"/>
      <c r="AR6" s="380"/>
      <c r="AS6" s="380"/>
      <c r="AT6" s="380"/>
      <c r="AU6" s="380"/>
      <c r="AV6" s="380"/>
      <c r="AW6" s="380"/>
      <c r="AX6" s="380"/>
      <c r="AY6" s="380"/>
      <c r="AZ6" s="380"/>
      <c r="BA6" s="380"/>
      <c r="BB6" s="380"/>
      <c r="BC6" s="380"/>
      <c r="BD6" s="380"/>
      <c r="BE6" s="380"/>
      <c r="BF6" s="380"/>
      <c r="BG6" s="380"/>
      <c r="BH6" s="380"/>
      <c r="BI6" s="380"/>
      <c r="BJ6" s="380"/>
      <c r="BK6" s="380"/>
      <c r="BL6" s="380"/>
      <c r="BM6" s="380"/>
    </row>
    <row r="7" spans="1:65" x14ac:dyDescent="0.25">
      <c r="A7" s="379" t="s">
        <v>233</v>
      </c>
      <c r="B7" s="380">
        <v>41000</v>
      </c>
      <c r="C7" s="380">
        <v>41000</v>
      </c>
      <c r="D7" s="380">
        <v>41000</v>
      </c>
      <c r="E7" s="380">
        <v>41000</v>
      </c>
      <c r="F7" s="380">
        <v>41000</v>
      </c>
      <c r="G7" s="380">
        <v>41000</v>
      </c>
      <c r="H7" s="380">
        <v>41000</v>
      </c>
      <c r="I7" s="380">
        <v>41000</v>
      </c>
      <c r="J7" s="380">
        <v>41000</v>
      </c>
      <c r="K7" s="380">
        <v>41000</v>
      </c>
      <c r="L7" s="380">
        <v>41000</v>
      </c>
      <c r="M7" s="380">
        <v>41000</v>
      </c>
      <c r="N7" s="380">
        <v>41000</v>
      </c>
      <c r="O7" s="380">
        <v>41000</v>
      </c>
      <c r="P7" s="380">
        <v>41000</v>
      </c>
      <c r="Q7" s="380">
        <v>41000</v>
      </c>
      <c r="R7" s="380">
        <v>41000</v>
      </c>
      <c r="S7" s="380">
        <v>41000</v>
      </c>
      <c r="T7" s="380">
        <v>41000</v>
      </c>
      <c r="U7" s="380">
        <v>41000</v>
      </c>
      <c r="V7" s="380">
        <v>41000</v>
      </c>
      <c r="W7" s="380">
        <v>41000</v>
      </c>
      <c r="X7" s="380">
        <v>41000</v>
      </c>
      <c r="Y7" s="380">
        <v>41000</v>
      </c>
      <c r="Z7" s="380">
        <v>41000</v>
      </c>
      <c r="AA7" s="380">
        <v>41000</v>
      </c>
      <c r="AB7" s="380">
        <v>41000</v>
      </c>
      <c r="AC7" s="380">
        <v>41000</v>
      </c>
      <c r="AD7" s="380">
        <v>41000</v>
      </c>
      <c r="AE7" s="380">
        <v>41000</v>
      </c>
      <c r="AF7" s="380">
        <v>41000</v>
      </c>
      <c r="AG7" s="380">
        <v>41000</v>
      </c>
      <c r="AH7" s="380">
        <v>41000</v>
      </c>
      <c r="AI7" s="380">
        <v>41000</v>
      </c>
      <c r="AJ7" s="380">
        <v>41000</v>
      </c>
      <c r="AK7" s="380">
        <v>41000</v>
      </c>
      <c r="AL7" s="380">
        <v>41000</v>
      </c>
      <c r="AM7" s="380">
        <v>41000</v>
      </c>
      <c r="AN7" s="380">
        <v>41000</v>
      </c>
      <c r="AO7" s="380">
        <v>41000</v>
      </c>
      <c r="AP7" s="380">
        <v>41000</v>
      </c>
      <c r="AQ7" s="380">
        <v>41000</v>
      </c>
      <c r="AR7" s="380">
        <v>41000</v>
      </c>
      <c r="AS7" s="380">
        <v>41000</v>
      </c>
      <c r="AT7" s="380">
        <v>41000</v>
      </c>
      <c r="AU7" s="380">
        <v>41000</v>
      </c>
      <c r="AV7" s="380">
        <v>41000</v>
      </c>
      <c r="AW7" s="380">
        <v>41000</v>
      </c>
      <c r="AX7" s="380">
        <v>41000</v>
      </c>
      <c r="AY7" s="380">
        <v>41000</v>
      </c>
      <c r="AZ7" s="380">
        <v>41000</v>
      </c>
      <c r="BA7" s="380">
        <v>41000</v>
      </c>
      <c r="BB7" s="380">
        <v>41000</v>
      </c>
      <c r="BC7" s="380">
        <v>41000</v>
      </c>
      <c r="BD7" s="380">
        <v>41000</v>
      </c>
      <c r="BE7" s="380">
        <v>41000</v>
      </c>
      <c r="BF7" s="380">
        <v>41000</v>
      </c>
      <c r="BG7" s="380">
        <v>41000</v>
      </c>
      <c r="BH7" s="380">
        <v>41000</v>
      </c>
      <c r="BI7" s="380">
        <v>41000</v>
      </c>
      <c r="BJ7" s="380">
        <v>41000</v>
      </c>
      <c r="BK7" s="380">
        <v>41000</v>
      </c>
      <c r="BL7" s="380">
        <v>41000</v>
      </c>
      <c r="BM7" s="380">
        <v>41000</v>
      </c>
    </row>
    <row r="8" spans="1:65" x14ac:dyDescent="0.25">
      <c r="A8" s="379" t="s">
        <v>234</v>
      </c>
      <c r="B8" s="382">
        <v>2000</v>
      </c>
      <c r="C8" s="382">
        <v>2000</v>
      </c>
      <c r="D8" s="382">
        <v>2000</v>
      </c>
      <c r="E8" s="382">
        <v>2000</v>
      </c>
      <c r="F8" s="382">
        <v>2000</v>
      </c>
      <c r="G8" s="382">
        <v>2000</v>
      </c>
      <c r="H8" s="382">
        <v>2000</v>
      </c>
      <c r="I8" s="382">
        <v>2000</v>
      </c>
      <c r="J8" s="382">
        <v>2000</v>
      </c>
      <c r="K8" s="382">
        <v>2000</v>
      </c>
      <c r="L8" s="382">
        <v>2000</v>
      </c>
      <c r="M8" s="382">
        <v>2000</v>
      </c>
      <c r="N8" s="382">
        <v>2000</v>
      </c>
      <c r="O8" s="382">
        <v>2000</v>
      </c>
      <c r="P8" s="382">
        <v>2000</v>
      </c>
      <c r="Q8" s="382">
        <v>2000</v>
      </c>
      <c r="R8" s="382">
        <v>2000</v>
      </c>
      <c r="S8" s="382">
        <v>2000</v>
      </c>
      <c r="T8" s="382">
        <v>2000</v>
      </c>
      <c r="U8" s="382">
        <v>2000</v>
      </c>
      <c r="V8" s="382">
        <v>2000</v>
      </c>
      <c r="W8" s="382">
        <v>2000</v>
      </c>
      <c r="X8" s="382">
        <v>2000</v>
      </c>
      <c r="Y8" s="382">
        <v>2000</v>
      </c>
      <c r="Z8" s="382">
        <v>2000</v>
      </c>
      <c r="AA8" s="382">
        <v>2000</v>
      </c>
      <c r="AB8" s="382">
        <v>2000</v>
      </c>
      <c r="AC8" s="382">
        <v>2000</v>
      </c>
      <c r="AD8" s="382">
        <v>2000</v>
      </c>
      <c r="AE8" s="382">
        <v>2000</v>
      </c>
      <c r="AF8" s="382">
        <v>2000</v>
      </c>
      <c r="AG8" s="382">
        <v>2000</v>
      </c>
      <c r="AH8" s="382">
        <v>2000</v>
      </c>
      <c r="AI8" s="382">
        <v>2000</v>
      </c>
      <c r="AJ8" s="382">
        <v>2000</v>
      </c>
      <c r="AK8" s="382">
        <v>2000</v>
      </c>
      <c r="AL8" s="382">
        <v>2000</v>
      </c>
      <c r="AM8" s="382">
        <v>2000</v>
      </c>
      <c r="AN8" s="382">
        <v>2000</v>
      </c>
      <c r="AO8" s="382">
        <v>2000</v>
      </c>
      <c r="AP8" s="382">
        <v>2000</v>
      </c>
      <c r="AQ8" s="382">
        <v>2000</v>
      </c>
      <c r="AR8" s="382">
        <v>2000</v>
      </c>
      <c r="AS8" s="382">
        <v>2000</v>
      </c>
      <c r="AT8" s="382">
        <v>2000</v>
      </c>
      <c r="AU8" s="382">
        <v>2000</v>
      </c>
      <c r="AV8" s="382">
        <v>2000</v>
      </c>
      <c r="AW8" s="382">
        <v>2000</v>
      </c>
      <c r="AX8" s="382">
        <v>2000</v>
      </c>
      <c r="AY8" s="382">
        <v>2000</v>
      </c>
      <c r="AZ8" s="382">
        <v>2000</v>
      </c>
      <c r="BA8" s="382">
        <v>2000</v>
      </c>
      <c r="BB8" s="382">
        <v>2000</v>
      </c>
      <c r="BC8" s="382">
        <v>2000</v>
      </c>
      <c r="BD8" s="382">
        <v>2000</v>
      </c>
      <c r="BE8" s="382">
        <v>2000</v>
      </c>
      <c r="BF8" s="382">
        <v>2000</v>
      </c>
      <c r="BG8" s="382">
        <v>2000</v>
      </c>
      <c r="BH8" s="382">
        <v>2000</v>
      </c>
      <c r="BI8" s="382">
        <v>2000</v>
      </c>
      <c r="BJ8" s="382">
        <v>2000</v>
      </c>
      <c r="BK8" s="382">
        <v>2000</v>
      </c>
      <c r="BL8" s="382">
        <v>2000</v>
      </c>
      <c r="BM8" s="382">
        <v>2000</v>
      </c>
    </row>
    <row r="9" spans="1:65" x14ac:dyDescent="0.25">
      <c r="A9" s="379" t="s">
        <v>235</v>
      </c>
      <c r="B9" s="382">
        <v>1000</v>
      </c>
      <c r="C9" s="382">
        <v>1000</v>
      </c>
      <c r="D9" s="382">
        <v>1000</v>
      </c>
      <c r="E9" s="382">
        <v>1000</v>
      </c>
      <c r="F9" s="382">
        <v>1000</v>
      </c>
      <c r="G9" s="382">
        <v>1000</v>
      </c>
      <c r="H9" s="382">
        <v>1000</v>
      </c>
      <c r="I9" s="382">
        <v>1000</v>
      </c>
      <c r="J9" s="382">
        <v>1000</v>
      </c>
      <c r="K9" s="382">
        <v>1000</v>
      </c>
      <c r="L9" s="382">
        <v>1000</v>
      </c>
      <c r="M9" s="382">
        <v>1000</v>
      </c>
      <c r="N9" s="382">
        <v>1000</v>
      </c>
      <c r="O9" s="382">
        <v>1000</v>
      </c>
      <c r="P9" s="382">
        <v>1000</v>
      </c>
      <c r="Q9" s="382">
        <v>1000</v>
      </c>
      <c r="R9" s="382">
        <v>1000</v>
      </c>
      <c r="S9" s="382">
        <v>1000</v>
      </c>
      <c r="T9" s="382">
        <v>1000</v>
      </c>
      <c r="U9" s="382">
        <v>1000</v>
      </c>
      <c r="V9" s="382">
        <v>1000</v>
      </c>
      <c r="W9" s="382">
        <v>1000</v>
      </c>
      <c r="X9" s="382">
        <v>1000</v>
      </c>
      <c r="Y9" s="382">
        <v>1000</v>
      </c>
      <c r="Z9" s="382">
        <v>1000</v>
      </c>
      <c r="AA9" s="382">
        <v>1000</v>
      </c>
      <c r="AB9" s="382">
        <v>1000</v>
      </c>
      <c r="AC9" s="382">
        <v>1000</v>
      </c>
      <c r="AD9" s="382">
        <v>1000</v>
      </c>
      <c r="AE9" s="382">
        <v>1000</v>
      </c>
      <c r="AF9" s="382">
        <v>1000</v>
      </c>
      <c r="AG9" s="382">
        <v>1000</v>
      </c>
      <c r="AH9" s="382">
        <v>1000</v>
      </c>
      <c r="AI9" s="382">
        <v>1000</v>
      </c>
      <c r="AJ9" s="382">
        <v>1000</v>
      </c>
      <c r="AK9" s="382">
        <v>1000</v>
      </c>
      <c r="AL9" s="382">
        <v>1000</v>
      </c>
      <c r="AM9" s="382">
        <v>1000</v>
      </c>
      <c r="AN9" s="382">
        <v>1000</v>
      </c>
      <c r="AO9" s="382">
        <v>1000</v>
      </c>
      <c r="AP9" s="382">
        <v>1000</v>
      </c>
      <c r="AQ9" s="382">
        <v>1000</v>
      </c>
      <c r="AR9" s="382">
        <v>1000</v>
      </c>
      <c r="AS9" s="382">
        <v>1000</v>
      </c>
      <c r="AT9" s="382">
        <v>1000</v>
      </c>
      <c r="AU9" s="382">
        <v>1000</v>
      </c>
      <c r="AV9" s="382">
        <v>1000</v>
      </c>
      <c r="AW9" s="382">
        <v>1000</v>
      </c>
      <c r="AX9" s="382">
        <v>1000</v>
      </c>
      <c r="AY9" s="382">
        <v>1000</v>
      </c>
      <c r="AZ9" s="382">
        <v>1000</v>
      </c>
      <c r="BA9" s="382">
        <v>1000</v>
      </c>
      <c r="BB9" s="382">
        <v>1000</v>
      </c>
      <c r="BC9" s="382">
        <v>1000</v>
      </c>
      <c r="BD9" s="382">
        <v>1000</v>
      </c>
      <c r="BE9" s="382">
        <v>1000</v>
      </c>
      <c r="BF9" s="382">
        <v>1000</v>
      </c>
      <c r="BG9" s="382">
        <v>1000</v>
      </c>
      <c r="BH9" s="382">
        <v>1000</v>
      </c>
      <c r="BI9" s="382">
        <v>1000</v>
      </c>
      <c r="BJ9" s="382">
        <v>1000</v>
      </c>
      <c r="BK9" s="382">
        <v>1000</v>
      </c>
      <c r="BL9" s="382">
        <v>1000</v>
      </c>
      <c r="BM9" s="382">
        <v>1000</v>
      </c>
    </row>
    <row r="10" spans="1:65" x14ac:dyDescent="0.25">
      <c r="A10" s="379" t="s">
        <v>236</v>
      </c>
      <c r="B10" s="382">
        <v>1000</v>
      </c>
      <c r="C10" s="382">
        <v>1000</v>
      </c>
      <c r="D10" s="382">
        <v>1000</v>
      </c>
      <c r="E10" s="382">
        <v>1000</v>
      </c>
      <c r="F10" s="382">
        <v>1000</v>
      </c>
      <c r="G10" s="382">
        <v>1000</v>
      </c>
      <c r="H10" s="382">
        <v>1000</v>
      </c>
      <c r="I10" s="382">
        <v>1000</v>
      </c>
      <c r="J10" s="382">
        <v>1000</v>
      </c>
      <c r="K10" s="382">
        <v>1000</v>
      </c>
      <c r="L10" s="382">
        <v>1000</v>
      </c>
      <c r="M10" s="382">
        <v>1000</v>
      </c>
      <c r="N10" s="382">
        <v>1000</v>
      </c>
      <c r="O10" s="382">
        <v>1000</v>
      </c>
      <c r="P10" s="382">
        <v>1000</v>
      </c>
      <c r="Q10" s="382">
        <v>1000</v>
      </c>
      <c r="R10" s="382">
        <v>1000</v>
      </c>
      <c r="S10" s="382">
        <v>1000</v>
      </c>
      <c r="T10" s="382">
        <v>1000</v>
      </c>
      <c r="U10" s="382">
        <v>1000</v>
      </c>
      <c r="V10" s="382">
        <v>1000</v>
      </c>
      <c r="W10" s="382">
        <v>1000</v>
      </c>
      <c r="X10" s="382">
        <v>1000</v>
      </c>
      <c r="Y10" s="382">
        <v>1000</v>
      </c>
      <c r="Z10" s="382">
        <v>1000</v>
      </c>
      <c r="AA10" s="382">
        <v>1000</v>
      </c>
      <c r="AB10" s="382">
        <v>1000</v>
      </c>
      <c r="AC10" s="382">
        <v>1000</v>
      </c>
      <c r="AD10" s="382">
        <v>1000</v>
      </c>
      <c r="AE10" s="382">
        <v>1000</v>
      </c>
      <c r="AF10" s="382">
        <v>1000</v>
      </c>
      <c r="AG10" s="382">
        <v>1000</v>
      </c>
      <c r="AH10" s="382">
        <v>1000</v>
      </c>
      <c r="AI10" s="382">
        <v>1000</v>
      </c>
      <c r="AJ10" s="382">
        <v>1000</v>
      </c>
      <c r="AK10" s="382">
        <v>1000</v>
      </c>
      <c r="AL10" s="382">
        <v>1000</v>
      </c>
      <c r="AM10" s="382">
        <v>1000</v>
      </c>
      <c r="AN10" s="382">
        <v>1000</v>
      </c>
      <c r="AO10" s="382">
        <v>1000</v>
      </c>
      <c r="AP10" s="382">
        <v>1000</v>
      </c>
      <c r="AQ10" s="382">
        <v>1000</v>
      </c>
      <c r="AR10" s="382">
        <v>1000</v>
      </c>
      <c r="AS10" s="382">
        <v>1000</v>
      </c>
      <c r="AT10" s="382">
        <v>1000</v>
      </c>
      <c r="AU10" s="382">
        <v>1000</v>
      </c>
      <c r="AV10" s="382">
        <v>1000</v>
      </c>
      <c r="AW10" s="382">
        <v>1000</v>
      </c>
      <c r="AX10" s="382">
        <v>1000</v>
      </c>
      <c r="AY10" s="382">
        <v>1000</v>
      </c>
      <c r="AZ10" s="382">
        <v>1000</v>
      </c>
      <c r="BA10" s="382">
        <v>1000</v>
      </c>
      <c r="BB10" s="382">
        <v>1000</v>
      </c>
      <c r="BC10" s="382">
        <v>1000</v>
      </c>
      <c r="BD10" s="382">
        <v>1000</v>
      </c>
      <c r="BE10" s="382">
        <v>1000</v>
      </c>
      <c r="BF10" s="382">
        <v>1000</v>
      </c>
      <c r="BG10" s="382">
        <v>1000</v>
      </c>
      <c r="BH10" s="382">
        <v>1000</v>
      </c>
      <c r="BI10" s="382">
        <v>1000</v>
      </c>
      <c r="BJ10" s="382">
        <v>1000</v>
      </c>
      <c r="BK10" s="382">
        <v>1000</v>
      </c>
      <c r="BL10" s="382">
        <v>1000</v>
      </c>
      <c r="BM10" s="382">
        <v>1000</v>
      </c>
    </row>
    <row r="11" spans="1:65" ht="14.25" thickBot="1" x14ac:dyDescent="0.3">
      <c r="A11" s="372"/>
      <c r="B11" s="383"/>
      <c r="C11" s="383"/>
      <c r="D11" s="383"/>
      <c r="E11" s="383"/>
      <c r="F11" s="383"/>
      <c r="G11" s="383"/>
      <c r="H11" s="383"/>
      <c r="I11" s="383"/>
      <c r="J11" s="383"/>
      <c r="K11" s="383"/>
      <c r="L11" s="383"/>
      <c r="M11" s="383"/>
      <c r="N11" s="383"/>
      <c r="O11" s="383"/>
      <c r="P11" s="383"/>
      <c r="Q11" s="383"/>
      <c r="R11" s="383"/>
      <c r="S11" s="383"/>
      <c r="T11" s="383"/>
      <c r="U11" s="383"/>
      <c r="V11" s="383"/>
      <c r="W11" s="383"/>
      <c r="X11" s="383"/>
      <c r="Y11" s="383"/>
      <c r="Z11" s="383"/>
      <c r="AA11" s="383"/>
      <c r="AB11" s="383"/>
      <c r="AC11" s="383"/>
      <c r="AD11" s="383"/>
      <c r="AE11" s="383"/>
      <c r="AF11" s="383"/>
      <c r="AG11" s="383"/>
      <c r="AH11" s="383"/>
      <c r="AI11" s="383"/>
      <c r="AJ11" s="383"/>
      <c r="AK11" s="383"/>
      <c r="AL11" s="383"/>
      <c r="AM11" s="383"/>
      <c r="AN11" s="383"/>
      <c r="AO11" s="383"/>
      <c r="AP11" s="383"/>
      <c r="AQ11" s="383"/>
      <c r="AR11" s="383"/>
      <c r="AS11" s="383"/>
      <c r="AT11" s="383"/>
      <c r="AU11" s="383"/>
      <c r="AV11" s="383"/>
      <c r="AW11" s="383"/>
      <c r="AX11" s="383"/>
      <c r="AY11" s="383"/>
      <c r="AZ11" s="383"/>
      <c r="BA11" s="383"/>
      <c r="BB11" s="383"/>
      <c r="BC11" s="383"/>
      <c r="BD11" s="383"/>
      <c r="BE11" s="383"/>
      <c r="BF11" s="383"/>
      <c r="BG11" s="383"/>
      <c r="BH11" s="383"/>
      <c r="BI11" s="383"/>
      <c r="BJ11" s="383"/>
      <c r="BK11" s="383"/>
      <c r="BL11" s="383"/>
      <c r="BM11" s="383"/>
    </row>
    <row r="12" spans="1:65" ht="14.25" thickBot="1" x14ac:dyDescent="0.3">
      <c r="A12" s="411" t="s">
        <v>237</v>
      </c>
      <c r="B12" s="412">
        <f t="shared" ref="B12:W12" si="0">SUM(B5:B11)</f>
        <v>142500</v>
      </c>
      <c r="C12" s="412">
        <f t="shared" si="0"/>
        <v>142500</v>
      </c>
      <c r="D12" s="412">
        <f t="shared" si="0"/>
        <v>132500</v>
      </c>
      <c r="E12" s="412">
        <f t="shared" si="0"/>
        <v>132500</v>
      </c>
      <c r="F12" s="412">
        <f t="shared" si="0"/>
        <v>132500</v>
      </c>
      <c r="G12" s="412">
        <f t="shared" si="0"/>
        <v>132500</v>
      </c>
      <c r="H12" s="412">
        <f t="shared" si="0"/>
        <v>132500</v>
      </c>
      <c r="I12" s="412">
        <f t="shared" si="0"/>
        <v>132500</v>
      </c>
      <c r="J12" s="412">
        <f t="shared" si="0"/>
        <v>142500</v>
      </c>
      <c r="K12" s="412">
        <f t="shared" si="0"/>
        <v>142500</v>
      </c>
      <c r="L12" s="412">
        <f t="shared" si="0"/>
        <v>142500</v>
      </c>
      <c r="M12" s="412">
        <f t="shared" si="0"/>
        <v>142500</v>
      </c>
      <c r="N12" s="412">
        <f t="shared" si="0"/>
        <v>142500</v>
      </c>
      <c r="O12" s="412">
        <f t="shared" si="0"/>
        <v>142500</v>
      </c>
      <c r="P12" s="412">
        <f t="shared" si="0"/>
        <v>142500</v>
      </c>
      <c r="Q12" s="412">
        <f t="shared" si="0"/>
        <v>142500</v>
      </c>
      <c r="R12" s="412">
        <f t="shared" si="0"/>
        <v>142500</v>
      </c>
      <c r="S12" s="412">
        <f t="shared" si="0"/>
        <v>142500</v>
      </c>
      <c r="T12" s="412">
        <f t="shared" si="0"/>
        <v>142500</v>
      </c>
      <c r="U12" s="412">
        <f t="shared" si="0"/>
        <v>142500</v>
      </c>
      <c r="V12" s="412">
        <f t="shared" si="0"/>
        <v>142500</v>
      </c>
      <c r="W12" s="413">
        <f t="shared" si="0"/>
        <v>142500</v>
      </c>
      <c r="X12" s="412">
        <f t="shared" ref="X12:BM12" si="1">SUM(X5:X11)</f>
        <v>142500</v>
      </c>
      <c r="Y12" s="412">
        <f t="shared" si="1"/>
        <v>142500</v>
      </c>
      <c r="Z12" s="412">
        <f t="shared" si="1"/>
        <v>142500</v>
      </c>
      <c r="AA12" s="412">
        <f t="shared" si="1"/>
        <v>142500</v>
      </c>
      <c r="AB12" s="412">
        <f t="shared" si="1"/>
        <v>142500</v>
      </c>
      <c r="AC12" s="412">
        <f t="shared" si="1"/>
        <v>142500</v>
      </c>
      <c r="AD12" s="412">
        <f t="shared" si="1"/>
        <v>142500</v>
      </c>
      <c r="AE12" s="412">
        <f t="shared" si="1"/>
        <v>142500</v>
      </c>
      <c r="AF12" s="412">
        <f t="shared" si="1"/>
        <v>142500</v>
      </c>
      <c r="AG12" s="412">
        <f t="shared" si="1"/>
        <v>142500</v>
      </c>
      <c r="AH12" s="412">
        <f t="shared" si="1"/>
        <v>142500</v>
      </c>
      <c r="AI12" s="412">
        <f t="shared" si="1"/>
        <v>142500</v>
      </c>
      <c r="AJ12" s="412">
        <f t="shared" si="1"/>
        <v>142500</v>
      </c>
      <c r="AK12" s="412">
        <f t="shared" si="1"/>
        <v>142500</v>
      </c>
      <c r="AL12" s="412">
        <f t="shared" si="1"/>
        <v>142500</v>
      </c>
      <c r="AM12" s="412">
        <f t="shared" si="1"/>
        <v>142500</v>
      </c>
      <c r="AN12" s="412">
        <f t="shared" si="1"/>
        <v>142500</v>
      </c>
      <c r="AO12" s="412">
        <f>SUM(AO5:AO11)</f>
        <v>142500</v>
      </c>
      <c r="AP12" s="412">
        <f t="shared" si="1"/>
        <v>142500</v>
      </c>
      <c r="AQ12" s="412">
        <f t="shared" si="1"/>
        <v>142500</v>
      </c>
      <c r="AR12" s="412">
        <f t="shared" si="1"/>
        <v>142500</v>
      </c>
      <c r="AS12" s="412">
        <f t="shared" si="1"/>
        <v>142500</v>
      </c>
      <c r="AT12" s="412">
        <f t="shared" si="1"/>
        <v>142500</v>
      </c>
      <c r="AU12" s="412">
        <f t="shared" si="1"/>
        <v>142500</v>
      </c>
      <c r="AV12" s="412">
        <f t="shared" si="1"/>
        <v>142500</v>
      </c>
      <c r="AW12" s="412">
        <f t="shared" si="1"/>
        <v>142500</v>
      </c>
      <c r="AX12" s="412">
        <f t="shared" si="1"/>
        <v>142500</v>
      </c>
      <c r="AY12" s="412">
        <f t="shared" si="1"/>
        <v>142500</v>
      </c>
      <c r="AZ12" s="412">
        <f t="shared" si="1"/>
        <v>142500</v>
      </c>
      <c r="BA12" s="412">
        <f t="shared" si="1"/>
        <v>142500</v>
      </c>
      <c r="BB12" s="412">
        <f t="shared" si="1"/>
        <v>142500</v>
      </c>
      <c r="BC12" s="412">
        <f t="shared" si="1"/>
        <v>142500</v>
      </c>
      <c r="BD12" s="412">
        <f t="shared" si="1"/>
        <v>142500</v>
      </c>
      <c r="BE12" s="412">
        <f t="shared" si="1"/>
        <v>142500</v>
      </c>
      <c r="BF12" s="412">
        <f t="shared" si="1"/>
        <v>142500</v>
      </c>
      <c r="BG12" s="412">
        <f t="shared" si="1"/>
        <v>142500</v>
      </c>
      <c r="BH12" s="412">
        <f t="shared" si="1"/>
        <v>142500</v>
      </c>
      <c r="BI12" s="412">
        <f t="shared" si="1"/>
        <v>142500</v>
      </c>
      <c r="BJ12" s="412">
        <f t="shared" si="1"/>
        <v>142500</v>
      </c>
      <c r="BK12" s="412">
        <f t="shared" si="1"/>
        <v>142500</v>
      </c>
      <c r="BL12" s="412">
        <f t="shared" si="1"/>
        <v>142500</v>
      </c>
      <c r="BM12" s="412">
        <f t="shared" si="1"/>
        <v>142500</v>
      </c>
    </row>
    <row r="13" spans="1:65" ht="14.25" thickBot="1" x14ac:dyDescent="0.3">
      <c r="A13" s="780"/>
      <c r="B13" s="781"/>
      <c r="C13" s="781"/>
      <c r="D13" s="781"/>
      <c r="E13" s="781"/>
      <c r="F13" s="781"/>
      <c r="G13" s="781"/>
      <c r="H13" s="781"/>
      <c r="I13" s="781"/>
      <c r="J13" s="781"/>
      <c r="K13" s="781"/>
      <c r="L13" s="781"/>
      <c r="M13" s="781"/>
      <c r="N13" s="781"/>
      <c r="O13" s="781"/>
      <c r="P13" s="781"/>
      <c r="Q13" s="781"/>
      <c r="R13" s="781"/>
      <c r="S13" s="781"/>
      <c r="T13" s="781"/>
      <c r="U13" s="781"/>
      <c r="V13" s="781"/>
      <c r="W13" s="782"/>
    </row>
    <row r="14" spans="1:65" x14ac:dyDescent="0.25">
      <c r="A14" s="384">
        <v>100</v>
      </c>
      <c r="B14" s="601">
        <v>7400</v>
      </c>
      <c r="C14" s="385"/>
      <c r="D14" s="385"/>
      <c r="E14" s="385"/>
      <c r="F14" s="386"/>
      <c r="G14" s="386"/>
      <c r="H14" s="386"/>
      <c r="I14" s="386"/>
      <c r="J14" s="386"/>
      <c r="K14" s="386"/>
      <c r="L14" s="386"/>
      <c r="M14" s="386"/>
      <c r="N14" s="386"/>
      <c r="O14" s="386"/>
      <c r="P14" s="386"/>
      <c r="Q14" s="386"/>
      <c r="R14" s="386"/>
      <c r="S14" s="386"/>
      <c r="T14" s="386"/>
      <c r="U14" s="386"/>
      <c r="V14" s="386"/>
      <c r="W14" s="387"/>
      <c r="X14" s="385"/>
      <c r="Y14" s="385"/>
      <c r="Z14" s="385"/>
      <c r="AA14" s="386"/>
      <c r="AB14" s="386"/>
      <c r="AC14" s="386"/>
      <c r="AD14" s="386"/>
      <c r="AE14" s="386"/>
      <c r="AF14" s="386"/>
      <c r="AG14" s="386"/>
      <c r="AH14" s="386"/>
      <c r="AI14" s="386"/>
      <c r="AJ14" s="386"/>
      <c r="AK14" s="386"/>
      <c r="AL14" s="385"/>
      <c r="AM14" s="385"/>
      <c r="AN14" s="385"/>
      <c r="AO14" s="386"/>
      <c r="AP14" s="386"/>
      <c r="AQ14" s="386"/>
      <c r="AR14" s="386"/>
      <c r="AS14" s="386"/>
      <c r="AT14" s="386"/>
      <c r="AU14" s="386"/>
      <c r="AV14" s="386"/>
      <c r="AW14" s="386"/>
      <c r="AX14" s="386"/>
      <c r="AY14" s="386"/>
      <c r="AZ14" s="385"/>
      <c r="BA14" s="385"/>
      <c r="BB14" s="385"/>
      <c r="BC14" s="386"/>
      <c r="BD14" s="386"/>
      <c r="BE14" s="386"/>
      <c r="BF14" s="386"/>
      <c r="BG14" s="386"/>
      <c r="BH14" s="386"/>
      <c r="BI14" s="386"/>
      <c r="BJ14" s="386"/>
      <c r="BK14" s="386"/>
      <c r="BL14" s="386"/>
      <c r="BM14" s="386"/>
    </row>
    <row r="15" spans="1:65" x14ac:dyDescent="0.25">
      <c r="A15" s="388">
        <v>50</v>
      </c>
      <c r="B15" s="389">
        <v>7000</v>
      </c>
      <c r="C15" s="382"/>
      <c r="D15" s="382"/>
      <c r="E15" s="382"/>
      <c r="F15" s="389"/>
      <c r="G15" s="389"/>
      <c r="H15" s="389"/>
      <c r="I15" s="389"/>
      <c r="J15" s="389"/>
      <c r="K15" s="389"/>
      <c r="L15" s="389"/>
      <c r="M15" s="389"/>
      <c r="N15" s="389"/>
      <c r="O15" s="389"/>
      <c r="P15" s="389"/>
      <c r="Q15" s="389"/>
      <c r="R15" s="389"/>
      <c r="S15" s="389"/>
      <c r="T15" s="389"/>
      <c r="U15" s="389"/>
      <c r="V15" s="389"/>
      <c r="W15" s="390"/>
      <c r="X15" s="382"/>
      <c r="Y15" s="382"/>
      <c r="Z15" s="382"/>
      <c r="AA15" s="389"/>
      <c r="AB15" s="389"/>
      <c r="AC15" s="389"/>
      <c r="AD15" s="389"/>
      <c r="AE15" s="389"/>
      <c r="AF15" s="389"/>
      <c r="AG15" s="389"/>
      <c r="AH15" s="389"/>
      <c r="AI15" s="389"/>
      <c r="AJ15" s="389"/>
      <c r="AK15" s="389"/>
      <c r="AL15" s="382"/>
      <c r="AM15" s="382"/>
      <c r="AN15" s="382"/>
      <c r="AO15" s="389"/>
      <c r="AP15" s="389"/>
      <c r="AQ15" s="389"/>
      <c r="AR15" s="389"/>
      <c r="AS15" s="389"/>
      <c r="AT15" s="389"/>
      <c r="AU15" s="389"/>
      <c r="AV15" s="389"/>
      <c r="AW15" s="389"/>
      <c r="AX15" s="389"/>
      <c r="AY15" s="389"/>
      <c r="AZ15" s="382"/>
      <c r="BA15" s="382"/>
      <c r="BB15" s="382"/>
      <c r="BC15" s="389"/>
      <c r="BD15" s="389"/>
      <c r="BE15" s="389"/>
      <c r="BF15" s="389"/>
      <c r="BG15" s="389"/>
      <c r="BH15" s="389"/>
      <c r="BI15" s="389"/>
      <c r="BJ15" s="389"/>
      <c r="BK15" s="389"/>
      <c r="BL15" s="389"/>
      <c r="BM15" s="389"/>
    </row>
    <row r="16" spans="1:65" x14ac:dyDescent="0.25">
      <c r="A16" s="388">
        <v>20</v>
      </c>
      <c r="B16" s="389">
        <v>680</v>
      </c>
      <c r="C16" s="382"/>
      <c r="D16" s="382"/>
      <c r="E16" s="382"/>
      <c r="F16" s="389"/>
      <c r="G16" s="389"/>
      <c r="H16" s="389"/>
      <c r="I16" s="389"/>
      <c r="J16" s="389"/>
      <c r="K16" s="389"/>
      <c r="L16" s="389"/>
      <c r="M16" s="389"/>
      <c r="N16" s="389"/>
      <c r="O16" s="389"/>
      <c r="P16" s="389"/>
      <c r="Q16" s="389"/>
      <c r="R16" s="389"/>
      <c r="S16" s="389"/>
      <c r="T16" s="389"/>
      <c r="U16" s="389"/>
      <c r="V16" s="389"/>
      <c r="W16" s="390"/>
      <c r="X16" s="382"/>
      <c r="Y16" s="382"/>
      <c r="Z16" s="382"/>
      <c r="AA16" s="389"/>
      <c r="AB16" s="389"/>
      <c r="AC16" s="389"/>
      <c r="AD16" s="389"/>
      <c r="AE16" s="389"/>
      <c r="AF16" s="389"/>
      <c r="AG16" s="389"/>
      <c r="AH16" s="389"/>
      <c r="AI16" s="389"/>
      <c r="AJ16" s="389"/>
      <c r="AK16" s="389"/>
      <c r="AL16" s="382"/>
      <c r="AM16" s="382"/>
      <c r="AN16" s="382"/>
      <c r="AO16" s="389"/>
      <c r="AP16" s="389"/>
      <c r="AQ16" s="389"/>
      <c r="AR16" s="389"/>
      <c r="AS16" s="389"/>
      <c r="AT16" s="389"/>
      <c r="AU16" s="389"/>
      <c r="AV16" s="389"/>
      <c r="AW16" s="389"/>
      <c r="AX16" s="389"/>
      <c r="AY16" s="389"/>
      <c r="AZ16" s="382"/>
      <c r="BA16" s="382"/>
      <c r="BB16" s="382"/>
      <c r="BC16" s="389"/>
      <c r="BD16" s="389"/>
      <c r="BE16" s="389"/>
      <c r="BF16" s="389"/>
      <c r="BG16" s="389"/>
      <c r="BH16" s="389"/>
      <c r="BI16" s="389"/>
      <c r="BJ16" s="389"/>
      <c r="BK16" s="389"/>
      <c r="BL16" s="389"/>
      <c r="BM16" s="389"/>
    </row>
    <row r="17" spans="1:65" x14ac:dyDescent="0.25">
      <c r="A17" s="388">
        <v>10</v>
      </c>
      <c r="B17" s="389">
        <v>490</v>
      </c>
      <c r="C17" s="382"/>
      <c r="D17" s="382"/>
      <c r="E17" s="382"/>
      <c r="F17" s="389"/>
      <c r="G17" s="389"/>
      <c r="H17" s="389"/>
      <c r="I17" s="389"/>
      <c r="J17" s="389"/>
      <c r="K17" s="389"/>
      <c r="L17" s="389"/>
      <c r="M17" s="389"/>
      <c r="N17" s="389"/>
      <c r="O17" s="389"/>
      <c r="P17" s="389"/>
      <c r="Q17" s="389"/>
      <c r="R17" s="389"/>
      <c r="S17" s="389"/>
      <c r="T17" s="389"/>
      <c r="U17" s="389"/>
      <c r="V17" s="389"/>
      <c r="W17" s="390"/>
      <c r="X17" s="382"/>
      <c r="Y17" s="382"/>
      <c r="Z17" s="382"/>
      <c r="AA17" s="389"/>
      <c r="AB17" s="389"/>
      <c r="AC17" s="389"/>
      <c r="AD17" s="389"/>
      <c r="AE17" s="389"/>
      <c r="AF17" s="389"/>
      <c r="AG17" s="389"/>
      <c r="AH17" s="389"/>
      <c r="AI17" s="389"/>
      <c r="AJ17" s="389"/>
      <c r="AK17" s="389"/>
      <c r="AL17" s="382"/>
      <c r="AM17" s="382"/>
      <c r="AN17" s="382"/>
      <c r="AO17" s="389"/>
      <c r="AP17" s="389"/>
      <c r="AQ17" s="389"/>
      <c r="AR17" s="389"/>
      <c r="AS17" s="389"/>
      <c r="AT17" s="389"/>
      <c r="AU17" s="389"/>
      <c r="AV17" s="389"/>
      <c r="AW17" s="389"/>
      <c r="AX17" s="389"/>
      <c r="AY17" s="389"/>
      <c r="AZ17" s="382"/>
      <c r="BA17" s="382"/>
      <c r="BB17" s="382"/>
      <c r="BC17" s="389"/>
      <c r="BD17" s="389"/>
      <c r="BE17" s="389"/>
      <c r="BF17" s="389"/>
      <c r="BG17" s="389"/>
      <c r="BH17" s="389"/>
      <c r="BI17" s="389"/>
      <c r="BJ17" s="389"/>
      <c r="BK17" s="389"/>
      <c r="BL17" s="389"/>
      <c r="BM17" s="389"/>
    </row>
    <row r="18" spans="1:65" ht="15" x14ac:dyDescent="0.25">
      <c r="A18" s="388">
        <v>5</v>
      </c>
      <c r="B18" s="389">
        <v>150</v>
      </c>
      <c r="C18" s="391"/>
      <c r="D18" s="391"/>
      <c r="E18" s="391"/>
      <c r="F18" s="389"/>
      <c r="G18" s="389"/>
      <c r="H18" s="389"/>
      <c r="I18" s="389"/>
      <c r="J18" s="389"/>
      <c r="K18" s="389"/>
      <c r="L18" s="389"/>
      <c r="M18" s="389"/>
      <c r="N18" s="389"/>
      <c r="O18" s="389"/>
      <c r="P18" s="389"/>
      <c r="Q18" s="389"/>
      <c r="R18" s="389"/>
      <c r="S18" s="389"/>
      <c r="T18" s="389"/>
      <c r="U18" s="389"/>
      <c r="V18" s="389"/>
      <c r="W18" s="390"/>
      <c r="X18" s="391"/>
      <c r="Y18" s="391"/>
      <c r="Z18" s="391"/>
      <c r="AA18" s="389"/>
      <c r="AB18" s="389"/>
      <c r="AC18" s="389"/>
      <c r="AD18" s="389"/>
      <c r="AE18" s="389"/>
      <c r="AF18" s="389"/>
      <c r="AG18" s="389"/>
      <c r="AH18" s="389"/>
      <c r="AI18" s="389"/>
      <c r="AJ18" s="389"/>
      <c r="AK18" s="389"/>
      <c r="AL18" s="391"/>
      <c r="AM18" s="391"/>
      <c r="AN18" s="391"/>
      <c r="AO18" s="389"/>
      <c r="AP18" s="389"/>
      <c r="AQ18" s="389"/>
      <c r="AR18" s="389"/>
      <c r="AS18" s="389"/>
      <c r="AT18" s="389"/>
      <c r="AU18" s="389"/>
      <c r="AV18" s="389"/>
      <c r="AW18" s="389"/>
      <c r="AX18" s="389"/>
      <c r="AY18" s="389"/>
      <c r="AZ18" s="391"/>
      <c r="BA18" s="391"/>
      <c r="BB18" s="391"/>
      <c r="BC18" s="389"/>
      <c r="BD18" s="389"/>
      <c r="BE18" s="389"/>
      <c r="BF18" s="389"/>
      <c r="BG18" s="389"/>
      <c r="BH18" s="389"/>
      <c r="BI18" s="389"/>
      <c r="BJ18" s="389"/>
      <c r="BK18" s="389"/>
      <c r="BL18" s="389"/>
      <c r="BM18" s="389"/>
    </row>
    <row r="19" spans="1:65" ht="14.25" thickBot="1" x14ac:dyDescent="0.3">
      <c r="A19" s="392" t="s">
        <v>238</v>
      </c>
      <c r="B19" s="393"/>
      <c r="C19" s="393"/>
      <c r="D19" s="393"/>
      <c r="E19" s="393"/>
      <c r="F19" s="394"/>
      <c r="G19" s="394"/>
      <c r="H19" s="394"/>
      <c r="I19" s="394"/>
      <c r="J19" s="394"/>
      <c r="K19" s="394"/>
      <c r="L19" s="394"/>
      <c r="M19" s="394"/>
      <c r="N19" s="394"/>
      <c r="O19" s="394"/>
      <c r="P19" s="394"/>
      <c r="Q19" s="394"/>
      <c r="R19" s="394"/>
      <c r="S19" s="394"/>
      <c r="T19" s="394"/>
      <c r="U19" s="394"/>
      <c r="V19" s="394"/>
      <c r="W19" s="395"/>
      <c r="X19" s="393"/>
      <c r="Y19" s="393"/>
      <c r="Z19" s="393"/>
      <c r="AA19" s="394"/>
      <c r="AB19" s="394"/>
      <c r="AC19" s="394"/>
      <c r="AD19" s="394"/>
      <c r="AE19" s="394"/>
      <c r="AF19" s="394"/>
      <c r="AG19" s="394"/>
      <c r="AH19" s="394"/>
      <c r="AI19" s="394"/>
      <c r="AJ19" s="394"/>
      <c r="AK19" s="394"/>
      <c r="AL19" s="393"/>
      <c r="AM19" s="393"/>
      <c r="AN19" s="393"/>
      <c r="AO19" s="394" t="s">
        <v>239</v>
      </c>
      <c r="AP19" s="394"/>
      <c r="AQ19" s="394"/>
      <c r="AR19" s="394"/>
      <c r="AS19" s="394"/>
      <c r="AT19" s="394"/>
      <c r="AU19" s="394"/>
      <c r="AV19" s="394"/>
      <c r="AW19" s="394"/>
      <c r="AX19" s="394"/>
      <c r="AY19" s="394"/>
      <c r="AZ19" s="393"/>
      <c r="BA19" s="393"/>
      <c r="BB19" s="393"/>
      <c r="BC19" s="394"/>
      <c r="BD19" s="394"/>
      <c r="BE19" s="394"/>
      <c r="BF19" s="394"/>
      <c r="BG19" s="394"/>
      <c r="BH19" s="394"/>
      <c r="BI19" s="394"/>
      <c r="BJ19" s="394"/>
      <c r="BK19" s="394"/>
      <c r="BL19" s="394"/>
      <c r="BM19" s="394"/>
    </row>
    <row r="20" spans="1:65" ht="14.25" thickBot="1" x14ac:dyDescent="0.3">
      <c r="A20" s="783"/>
      <c r="B20" s="784"/>
      <c r="C20" s="784"/>
      <c r="D20" s="784"/>
      <c r="E20" s="784"/>
      <c r="F20" s="784"/>
      <c r="G20" s="784"/>
      <c r="H20" s="784"/>
      <c r="I20" s="784"/>
      <c r="J20" s="784"/>
      <c r="K20" s="784"/>
      <c r="L20" s="784"/>
      <c r="M20" s="784"/>
      <c r="N20" s="784"/>
      <c r="O20" s="784"/>
      <c r="P20" s="784"/>
      <c r="Q20" s="784"/>
      <c r="R20" s="784"/>
      <c r="S20" s="784"/>
      <c r="T20" s="784"/>
      <c r="U20" s="784"/>
      <c r="V20" s="784"/>
      <c r="W20" s="785"/>
    </row>
    <row r="21" spans="1:65" x14ac:dyDescent="0.25">
      <c r="A21" s="396">
        <v>2</v>
      </c>
      <c r="B21" s="386">
        <v>124</v>
      </c>
      <c r="C21" s="385"/>
      <c r="D21" s="385"/>
      <c r="E21" s="385"/>
      <c r="F21" s="386"/>
      <c r="G21" s="386"/>
      <c r="H21" s="386"/>
      <c r="I21" s="386"/>
      <c r="J21" s="386"/>
      <c r="K21" s="386"/>
      <c r="L21" s="386"/>
      <c r="M21" s="386"/>
      <c r="N21" s="386"/>
      <c r="O21" s="386"/>
      <c r="P21" s="386"/>
      <c r="Q21" s="386"/>
      <c r="R21" s="386"/>
      <c r="S21" s="386"/>
      <c r="T21" s="386"/>
      <c r="U21" s="386"/>
      <c r="V21" s="386"/>
      <c r="W21" s="386"/>
      <c r="X21" s="385"/>
      <c r="Y21" s="385"/>
      <c r="Z21" s="385"/>
      <c r="AA21" s="386"/>
      <c r="AB21" s="386"/>
      <c r="AC21" s="386"/>
      <c r="AD21" s="386"/>
      <c r="AE21" s="386"/>
      <c r="AF21" s="386"/>
      <c r="AG21" s="386"/>
      <c r="AH21" s="386"/>
      <c r="AI21" s="386"/>
      <c r="AJ21" s="386"/>
      <c r="AK21" s="386"/>
      <c r="AL21" s="385"/>
      <c r="AM21" s="385"/>
      <c r="AN21" s="385"/>
      <c r="AO21" s="386"/>
      <c r="AP21" s="386"/>
      <c r="AQ21" s="386"/>
      <c r="AR21" s="386"/>
      <c r="AS21" s="386"/>
      <c r="AT21" s="386"/>
      <c r="AU21" s="386"/>
      <c r="AV21" s="386"/>
      <c r="AW21" s="386"/>
      <c r="AX21" s="386"/>
      <c r="AY21" s="386"/>
      <c r="AZ21" s="385"/>
      <c r="BA21" s="385"/>
      <c r="BB21" s="385"/>
      <c r="BC21" s="386"/>
      <c r="BD21" s="386"/>
      <c r="BE21" s="386"/>
      <c r="BF21" s="386"/>
      <c r="BG21" s="386"/>
      <c r="BH21" s="386"/>
      <c r="BI21" s="386"/>
      <c r="BJ21" s="386"/>
      <c r="BK21" s="386"/>
      <c r="BL21" s="386"/>
      <c r="BM21" s="386"/>
    </row>
    <row r="22" spans="1:65" x14ac:dyDescent="0.25">
      <c r="A22" s="397">
        <v>1</v>
      </c>
      <c r="B22" s="389">
        <v>81</v>
      </c>
      <c r="C22" s="382"/>
      <c r="D22" s="382"/>
      <c r="E22" s="382"/>
      <c r="F22" s="389"/>
      <c r="G22" s="389"/>
      <c r="H22" s="389"/>
      <c r="I22" s="389"/>
      <c r="J22" s="389"/>
      <c r="K22" s="389"/>
      <c r="L22" s="389"/>
      <c r="M22" s="389"/>
      <c r="N22" s="389"/>
      <c r="O22" s="389"/>
      <c r="P22" s="389"/>
      <c r="Q22" s="389"/>
      <c r="R22" s="389"/>
      <c r="S22" s="389"/>
      <c r="T22" s="389"/>
      <c r="U22" s="389"/>
      <c r="V22" s="389"/>
      <c r="W22" s="389"/>
      <c r="X22" s="382"/>
      <c r="Y22" s="382"/>
      <c r="Z22" s="382"/>
      <c r="AA22" s="389"/>
      <c r="AB22" s="389"/>
      <c r="AC22" s="389"/>
      <c r="AD22" s="389"/>
      <c r="AE22" s="389"/>
      <c r="AF22" s="389"/>
      <c r="AG22" s="389"/>
      <c r="AH22" s="389"/>
      <c r="AI22" s="389"/>
      <c r="AJ22" s="389"/>
      <c r="AK22" s="389"/>
      <c r="AL22" s="382"/>
      <c r="AM22" s="382"/>
      <c r="AN22" s="382"/>
      <c r="AO22" s="389"/>
      <c r="AP22" s="389"/>
      <c r="AQ22" s="389"/>
      <c r="AR22" s="389"/>
      <c r="AS22" s="389"/>
      <c r="AT22" s="389"/>
      <c r="AU22" s="389"/>
      <c r="AV22" s="389"/>
      <c r="AW22" s="389"/>
      <c r="AX22" s="389"/>
      <c r="AY22" s="389"/>
      <c r="AZ22" s="382"/>
      <c r="BA22" s="382"/>
      <c r="BB22" s="382"/>
      <c r="BC22" s="389"/>
      <c r="BD22" s="389"/>
      <c r="BE22" s="389"/>
      <c r="BF22" s="389"/>
      <c r="BG22" s="389"/>
      <c r="BH22" s="389"/>
      <c r="BI22" s="389"/>
      <c r="BJ22" s="389"/>
      <c r="BK22" s="389"/>
      <c r="BL22" s="389"/>
      <c r="BM22" s="389"/>
    </row>
    <row r="23" spans="1:65" x14ac:dyDescent="0.25">
      <c r="A23" s="379" t="s">
        <v>240</v>
      </c>
      <c r="B23" s="389">
        <v>44</v>
      </c>
      <c r="C23" s="382"/>
      <c r="D23" s="382"/>
      <c r="E23" s="382"/>
      <c r="F23" s="389"/>
      <c r="G23" s="389"/>
      <c r="H23" s="389"/>
      <c r="I23" s="389"/>
      <c r="J23" s="389"/>
      <c r="K23" s="389"/>
      <c r="L23" s="389"/>
      <c r="M23" s="389"/>
      <c r="N23" s="389"/>
      <c r="O23" s="389"/>
      <c r="P23" s="389"/>
      <c r="Q23" s="389"/>
      <c r="R23" s="389"/>
      <c r="S23" s="389"/>
      <c r="T23" s="389"/>
      <c r="U23" s="389"/>
      <c r="V23" s="389"/>
      <c r="W23" s="389"/>
      <c r="X23" s="382"/>
      <c r="Y23" s="382"/>
      <c r="Z23" s="382"/>
      <c r="AA23" s="389"/>
      <c r="AB23" s="389"/>
      <c r="AC23" s="389"/>
      <c r="AD23" s="389"/>
      <c r="AE23" s="389"/>
      <c r="AF23" s="389"/>
      <c r="AG23" s="389"/>
      <c r="AH23" s="389"/>
      <c r="AI23" s="389"/>
      <c r="AJ23" s="389"/>
      <c r="AK23" s="389"/>
      <c r="AL23" s="382"/>
      <c r="AM23" s="382"/>
      <c r="AN23" s="382"/>
      <c r="AO23" s="389"/>
      <c r="AP23" s="389"/>
      <c r="AQ23" s="389"/>
      <c r="AR23" s="389"/>
      <c r="AS23" s="389"/>
      <c r="AT23" s="389"/>
      <c r="AU23" s="389"/>
      <c r="AV23" s="389"/>
      <c r="AW23" s="389"/>
      <c r="AX23" s="389"/>
      <c r="AY23" s="389"/>
      <c r="AZ23" s="382"/>
      <c r="BA23" s="382"/>
      <c r="BB23" s="382"/>
      <c r="BC23" s="389"/>
      <c r="BD23" s="389"/>
      <c r="BE23" s="389"/>
      <c r="BF23" s="389"/>
      <c r="BG23" s="389"/>
      <c r="BH23" s="389"/>
      <c r="BI23" s="389"/>
      <c r="BJ23" s="389"/>
      <c r="BK23" s="389"/>
      <c r="BL23" s="389"/>
      <c r="BM23" s="389"/>
    </row>
    <row r="24" spans="1:65" x14ac:dyDescent="0.25">
      <c r="A24" s="379" t="s">
        <v>241</v>
      </c>
      <c r="B24" s="389">
        <v>7</v>
      </c>
      <c r="C24" s="382"/>
      <c r="D24" s="382"/>
      <c r="E24" s="382"/>
      <c r="F24" s="389"/>
      <c r="G24" s="389"/>
      <c r="H24" s="389"/>
      <c r="I24" s="389"/>
      <c r="J24" s="389"/>
      <c r="K24" s="389"/>
      <c r="L24" s="389"/>
      <c r="M24" s="389"/>
      <c r="N24" s="389"/>
      <c r="O24" s="389"/>
      <c r="P24" s="389"/>
      <c r="Q24" s="389"/>
      <c r="R24" s="389"/>
      <c r="S24" s="389"/>
      <c r="T24" s="389"/>
      <c r="U24" s="389"/>
      <c r="V24" s="389"/>
      <c r="W24" s="389"/>
      <c r="X24" s="382"/>
      <c r="Y24" s="382"/>
      <c r="Z24" s="382"/>
      <c r="AA24" s="389"/>
      <c r="AB24" s="389"/>
      <c r="AC24" s="389"/>
      <c r="AD24" s="389"/>
      <c r="AE24" s="389"/>
      <c r="AF24" s="389"/>
      <c r="AG24" s="389"/>
      <c r="AH24" s="389"/>
      <c r="AI24" s="389"/>
      <c r="AJ24" s="389"/>
      <c r="AK24" s="389"/>
      <c r="AL24" s="382"/>
      <c r="AM24" s="382"/>
      <c r="AN24" s="382"/>
      <c r="AO24" s="389"/>
      <c r="AP24" s="389"/>
      <c r="AQ24" s="389"/>
      <c r="AR24" s="389"/>
      <c r="AS24" s="389"/>
      <c r="AT24" s="389"/>
      <c r="AU24" s="389"/>
      <c r="AV24" s="389"/>
      <c r="AW24" s="389"/>
      <c r="AX24" s="389"/>
      <c r="AY24" s="389"/>
      <c r="AZ24" s="382"/>
      <c r="BA24" s="382"/>
      <c r="BB24" s="382"/>
      <c r="BC24" s="389"/>
      <c r="BD24" s="389"/>
      <c r="BE24" s="389"/>
      <c r="BF24" s="389"/>
      <c r="BG24" s="389"/>
      <c r="BH24" s="389"/>
      <c r="BI24" s="389"/>
      <c r="BJ24" s="389"/>
      <c r="BK24" s="389"/>
      <c r="BL24" s="389"/>
      <c r="BM24" s="389"/>
    </row>
    <row r="25" spans="1:65" x14ac:dyDescent="0.25">
      <c r="A25" s="379" t="s">
        <v>242</v>
      </c>
      <c r="B25" s="389">
        <v>24</v>
      </c>
      <c r="C25" s="382"/>
      <c r="D25" s="382"/>
      <c r="E25" s="382"/>
      <c r="F25" s="389"/>
      <c r="G25" s="389"/>
      <c r="H25" s="389"/>
      <c r="I25" s="389"/>
      <c r="J25" s="389"/>
      <c r="K25" s="389"/>
      <c r="L25" s="389"/>
      <c r="M25" s="389"/>
      <c r="N25" s="389"/>
      <c r="O25" s="389"/>
      <c r="P25" s="389"/>
      <c r="Q25" s="389"/>
      <c r="R25" s="389"/>
      <c r="S25" s="389"/>
      <c r="T25" s="389"/>
      <c r="U25" s="389"/>
      <c r="V25" s="389"/>
      <c r="W25" s="389"/>
      <c r="X25" s="382"/>
      <c r="Y25" s="382"/>
      <c r="Z25" s="382"/>
      <c r="AA25" s="389"/>
      <c r="AB25" s="389"/>
      <c r="AC25" s="389"/>
      <c r="AD25" s="389"/>
      <c r="AE25" s="389"/>
      <c r="AF25" s="389"/>
      <c r="AG25" s="389"/>
      <c r="AH25" s="389"/>
      <c r="AI25" s="389"/>
      <c r="AJ25" s="389"/>
      <c r="AK25" s="389"/>
      <c r="AL25" s="382"/>
      <c r="AM25" s="382"/>
      <c r="AN25" s="382"/>
      <c r="AO25" s="389"/>
      <c r="AP25" s="389"/>
      <c r="AQ25" s="389"/>
      <c r="AR25" s="389"/>
      <c r="AS25" s="389"/>
      <c r="AT25" s="389"/>
      <c r="AU25" s="389"/>
      <c r="AV25" s="389"/>
      <c r="AW25" s="389"/>
      <c r="AX25" s="389"/>
      <c r="AY25" s="389"/>
      <c r="AZ25" s="382"/>
      <c r="BA25" s="382"/>
      <c r="BB25" s="382"/>
      <c r="BC25" s="389"/>
      <c r="BD25" s="389"/>
      <c r="BE25" s="389"/>
      <c r="BF25" s="389"/>
      <c r="BG25" s="389"/>
      <c r="BH25" s="389"/>
      <c r="BI25" s="389"/>
      <c r="BJ25" s="389"/>
      <c r="BK25" s="389"/>
      <c r="BL25" s="389"/>
      <c r="BM25" s="389"/>
    </row>
    <row r="26" spans="1:65" x14ac:dyDescent="0.25">
      <c r="A26" s="379" t="s">
        <v>243</v>
      </c>
      <c r="B26" s="382"/>
      <c r="C26" s="382"/>
      <c r="D26" s="382"/>
      <c r="E26" s="382"/>
      <c r="F26" s="389"/>
      <c r="G26" s="389"/>
      <c r="H26" s="389"/>
      <c r="I26" s="389"/>
      <c r="J26" s="389"/>
      <c r="K26" s="389"/>
      <c r="L26" s="389"/>
      <c r="M26" s="389"/>
      <c r="N26" s="389"/>
      <c r="O26" s="389"/>
      <c r="P26" s="389"/>
      <c r="Q26" s="389"/>
      <c r="R26" s="389"/>
      <c r="S26" s="389"/>
      <c r="T26" s="389"/>
      <c r="U26" s="389"/>
      <c r="V26" s="389"/>
      <c r="W26" s="389"/>
      <c r="X26" s="382"/>
      <c r="Y26" s="382"/>
      <c r="Z26" s="382"/>
      <c r="AA26" s="389"/>
      <c r="AB26" s="389"/>
      <c r="AC26" s="389"/>
      <c r="AD26" s="389"/>
      <c r="AE26" s="389"/>
      <c r="AF26" s="389"/>
      <c r="AG26" s="389"/>
      <c r="AH26" s="389"/>
      <c r="AI26" s="389"/>
      <c r="AJ26" s="389"/>
      <c r="AK26" s="389"/>
      <c r="AL26" s="382"/>
      <c r="AM26" s="382"/>
      <c r="AN26" s="382"/>
      <c r="AO26" s="389"/>
      <c r="AP26" s="389"/>
      <c r="AQ26" s="389"/>
      <c r="AR26" s="389"/>
      <c r="AS26" s="389"/>
      <c r="AT26" s="389"/>
      <c r="AU26" s="389"/>
      <c r="AV26" s="389"/>
      <c r="AW26" s="389"/>
      <c r="AX26" s="389"/>
      <c r="AY26" s="389"/>
      <c r="AZ26" s="382"/>
      <c r="BA26" s="382"/>
      <c r="BB26" s="382"/>
      <c r="BC26" s="389"/>
      <c r="BD26" s="389"/>
      <c r="BE26" s="389"/>
      <c r="BF26" s="389"/>
      <c r="BG26" s="389"/>
      <c r="BH26" s="389"/>
      <c r="BI26" s="389"/>
      <c r="BJ26" s="389"/>
      <c r="BK26" s="389"/>
      <c r="BL26" s="389"/>
      <c r="BM26" s="389"/>
    </row>
    <row r="27" spans="1:65" ht="14.25" thickBot="1" x14ac:dyDescent="0.3">
      <c r="A27" s="392" t="s">
        <v>244</v>
      </c>
      <c r="B27" s="393"/>
      <c r="C27" s="393"/>
      <c r="D27" s="393"/>
      <c r="E27" s="393"/>
      <c r="F27" s="394"/>
      <c r="G27" s="394"/>
      <c r="H27" s="394"/>
      <c r="I27" s="394"/>
      <c r="J27" s="394"/>
      <c r="K27" s="394"/>
      <c r="L27" s="394"/>
      <c r="M27" s="394"/>
      <c r="N27" s="394"/>
      <c r="O27" s="394"/>
      <c r="P27" s="394"/>
      <c r="Q27" s="394"/>
      <c r="R27" s="394"/>
      <c r="S27" s="394"/>
      <c r="T27" s="394"/>
      <c r="U27" s="394"/>
      <c r="V27" s="394"/>
      <c r="W27" s="395"/>
      <c r="X27" s="393"/>
      <c r="Y27" s="393"/>
      <c r="Z27" s="393"/>
      <c r="AA27" s="394"/>
      <c r="AB27" s="394"/>
      <c r="AC27" s="394"/>
      <c r="AD27" s="394"/>
      <c r="AE27" s="394"/>
      <c r="AF27" s="394"/>
      <c r="AG27" s="394"/>
      <c r="AH27" s="394"/>
      <c r="AI27" s="394"/>
      <c r="AJ27" s="394"/>
      <c r="AK27" s="394"/>
      <c r="AL27" s="393"/>
      <c r="AM27" s="393"/>
      <c r="AN27" s="393"/>
      <c r="AO27" s="394"/>
      <c r="AP27" s="394"/>
      <c r="AQ27" s="394"/>
      <c r="AR27" s="394"/>
      <c r="AS27" s="394"/>
      <c r="AT27" s="394"/>
      <c r="AU27" s="394"/>
      <c r="AV27" s="394"/>
      <c r="AW27" s="394"/>
      <c r="AX27" s="394"/>
      <c r="AY27" s="394"/>
      <c r="AZ27" s="393"/>
      <c r="BA27" s="393"/>
      <c r="BB27" s="393"/>
      <c r="BC27" s="394"/>
      <c r="BD27" s="394"/>
      <c r="BE27" s="394"/>
      <c r="BF27" s="394"/>
      <c r="BG27" s="394"/>
      <c r="BH27" s="394"/>
      <c r="BI27" s="394"/>
      <c r="BJ27" s="394"/>
      <c r="BK27" s="394"/>
      <c r="BL27" s="394"/>
      <c r="BM27" s="394"/>
    </row>
    <row r="28" spans="1:65" ht="15" thickBot="1" x14ac:dyDescent="0.35">
      <c r="A28" s="786"/>
      <c r="B28" s="787"/>
      <c r="C28" s="787"/>
      <c r="D28" s="787"/>
      <c r="E28" s="787"/>
      <c r="F28" s="787"/>
      <c r="G28" s="787"/>
      <c r="H28" s="787"/>
      <c r="I28" s="787"/>
      <c r="J28" s="787"/>
      <c r="K28" s="787"/>
      <c r="L28" s="787"/>
      <c r="M28" s="787"/>
      <c r="N28" s="787"/>
      <c r="O28" s="787"/>
      <c r="P28" s="787"/>
      <c r="Q28" s="787"/>
      <c r="R28" s="787"/>
      <c r="S28" s="787"/>
      <c r="T28" s="787"/>
      <c r="U28" s="787"/>
      <c r="V28" s="787"/>
      <c r="W28" s="788"/>
    </row>
    <row r="29" spans="1:65" x14ac:dyDescent="0.25">
      <c r="A29" s="365" t="s">
        <v>245</v>
      </c>
      <c r="B29" s="385"/>
      <c r="C29" s="385"/>
      <c r="D29" s="385"/>
      <c r="E29" s="385"/>
      <c r="F29" s="386"/>
      <c r="G29" s="386"/>
      <c r="H29" s="386"/>
      <c r="I29" s="386"/>
      <c r="J29" s="386"/>
      <c r="K29" s="386"/>
      <c r="L29" s="386"/>
      <c r="M29" s="386"/>
      <c r="N29" s="386"/>
      <c r="O29" s="386"/>
      <c r="P29" s="386"/>
      <c r="Q29" s="386"/>
      <c r="R29" s="386"/>
      <c r="S29" s="386"/>
      <c r="T29" s="386"/>
      <c r="U29" s="386"/>
      <c r="V29" s="386"/>
      <c r="W29" s="386"/>
      <c r="X29" s="385"/>
      <c r="Y29" s="385"/>
      <c r="Z29" s="385"/>
      <c r="AA29" s="386"/>
      <c r="AB29" s="386"/>
      <c r="AC29" s="386"/>
      <c r="AD29" s="386"/>
      <c r="AE29" s="386"/>
      <c r="AF29" s="386"/>
      <c r="AG29" s="386"/>
      <c r="AH29" s="386"/>
      <c r="AI29" s="386"/>
      <c r="AJ29" s="386"/>
      <c r="AK29" s="386"/>
      <c r="AL29" s="385"/>
      <c r="AM29" s="385"/>
      <c r="AN29" s="385"/>
      <c r="AO29" s="386"/>
      <c r="AP29" s="386"/>
      <c r="AQ29" s="386"/>
      <c r="AR29" s="386"/>
      <c r="AS29" s="386"/>
      <c r="AT29" s="386"/>
      <c r="AU29" s="386"/>
      <c r="AV29" s="386"/>
      <c r="AW29" s="386"/>
      <c r="AX29" s="386"/>
      <c r="AY29" s="386"/>
      <c r="AZ29" s="385"/>
      <c r="BA29" s="385"/>
      <c r="BB29" s="385"/>
      <c r="BC29" s="386"/>
      <c r="BD29" s="386"/>
      <c r="BE29" s="386"/>
      <c r="BF29" s="386"/>
      <c r="BG29" s="386"/>
      <c r="BH29" s="386"/>
      <c r="BI29" s="386"/>
      <c r="BJ29" s="386"/>
      <c r="BK29" s="386"/>
      <c r="BL29" s="386"/>
      <c r="BM29" s="386"/>
    </row>
    <row r="30" spans="1:65" x14ac:dyDescent="0.25">
      <c r="A30" s="378" t="s">
        <v>246</v>
      </c>
      <c r="B30" s="407"/>
      <c r="C30" s="407"/>
      <c r="D30" s="407"/>
      <c r="E30" s="407"/>
      <c r="F30" s="408"/>
      <c r="G30" s="408"/>
      <c r="H30" s="408"/>
      <c r="I30" s="408"/>
      <c r="J30" s="408"/>
      <c r="K30" s="408"/>
      <c r="L30" s="408"/>
      <c r="M30" s="408"/>
      <c r="N30" s="408"/>
      <c r="O30" s="408"/>
      <c r="P30" s="408"/>
      <c r="Q30" s="408"/>
      <c r="R30" s="408"/>
      <c r="S30" s="408"/>
      <c r="T30" s="408"/>
      <c r="U30" s="408"/>
      <c r="V30" s="408"/>
      <c r="W30" s="408"/>
      <c r="X30" s="407"/>
      <c r="Y30" s="407"/>
      <c r="Z30" s="407"/>
      <c r="AA30" s="408"/>
      <c r="AB30" s="408"/>
      <c r="AC30" s="408"/>
      <c r="AD30" s="408"/>
      <c r="AE30" s="408"/>
      <c r="AF30" s="408"/>
      <c r="AG30" s="408"/>
      <c r="AH30" s="408"/>
      <c r="AI30" s="408"/>
      <c r="AJ30" s="408"/>
      <c r="AK30" s="408"/>
      <c r="AL30" s="407"/>
      <c r="AM30" s="407"/>
      <c r="AN30" s="407"/>
      <c r="AO30" s="408"/>
      <c r="AP30" s="408"/>
      <c r="AQ30" s="408"/>
      <c r="AR30" s="408"/>
      <c r="AS30" s="408"/>
      <c r="AT30" s="408"/>
      <c r="AU30" s="408"/>
      <c r="AV30" s="408"/>
      <c r="AW30" s="408"/>
      <c r="AX30" s="408"/>
      <c r="AY30" s="408"/>
      <c r="AZ30" s="407"/>
      <c r="BA30" s="407"/>
      <c r="BB30" s="407"/>
      <c r="BC30" s="408"/>
      <c r="BD30" s="408"/>
      <c r="BE30" s="408"/>
      <c r="BF30" s="408"/>
      <c r="BG30" s="408"/>
      <c r="BH30" s="408"/>
      <c r="BI30" s="408"/>
      <c r="BJ30" s="408"/>
      <c r="BK30" s="408"/>
      <c r="BL30" s="408"/>
      <c r="BM30" s="408"/>
    </row>
    <row r="31" spans="1:65" x14ac:dyDescent="0.25">
      <c r="A31" s="378" t="s">
        <v>247</v>
      </c>
      <c r="B31" s="407"/>
      <c r="C31" s="407"/>
      <c r="D31" s="407"/>
      <c r="E31" s="407"/>
      <c r="F31" s="408"/>
      <c r="G31" s="408"/>
      <c r="H31" s="408"/>
      <c r="I31" s="408"/>
      <c r="J31" s="408"/>
      <c r="K31" s="408"/>
      <c r="L31" s="408"/>
      <c r="M31" s="408"/>
      <c r="N31" s="408"/>
      <c r="O31" s="408"/>
      <c r="P31" s="408"/>
      <c r="Q31" s="408"/>
      <c r="R31" s="408"/>
      <c r="S31" s="408"/>
      <c r="T31" s="408"/>
      <c r="U31" s="408"/>
      <c r="V31" s="408"/>
      <c r="W31" s="408"/>
      <c r="X31" s="407"/>
      <c r="Y31" s="407"/>
      <c r="Z31" s="407"/>
      <c r="AA31" s="408"/>
      <c r="AB31" s="408"/>
      <c r="AC31" s="408"/>
      <c r="AD31" s="408"/>
      <c r="AE31" s="408"/>
      <c r="AF31" s="408"/>
      <c r="AG31" s="408"/>
      <c r="AH31" s="408"/>
      <c r="AI31" s="408"/>
      <c r="AJ31" s="408"/>
      <c r="AK31" s="408"/>
      <c r="AL31" s="407"/>
      <c r="AM31" s="407"/>
      <c r="AN31" s="407"/>
      <c r="AO31" s="408"/>
      <c r="AP31" s="408"/>
      <c r="AQ31" s="408"/>
      <c r="AR31" s="408"/>
      <c r="AS31" s="408"/>
      <c r="AT31" s="408"/>
      <c r="AU31" s="408"/>
      <c r="AV31" s="408"/>
      <c r="AW31" s="408"/>
      <c r="AX31" s="408"/>
      <c r="AY31" s="408"/>
      <c r="AZ31" s="407"/>
      <c r="BA31" s="407"/>
      <c r="BB31" s="407"/>
      <c r="BC31" s="408"/>
      <c r="BD31" s="408"/>
      <c r="BE31" s="408"/>
      <c r="BF31" s="408"/>
      <c r="BG31" s="408"/>
      <c r="BH31" s="408"/>
      <c r="BI31" s="408"/>
      <c r="BJ31" s="408"/>
      <c r="BK31" s="408"/>
      <c r="BL31" s="408"/>
      <c r="BM31" s="408"/>
    </row>
    <row r="32" spans="1:65" x14ac:dyDescent="0.25">
      <c r="A32" s="398" t="s">
        <v>248</v>
      </c>
      <c r="B32" s="382"/>
      <c r="C32" s="382"/>
      <c r="D32" s="382"/>
      <c r="E32" s="382"/>
      <c r="F32" s="389"/>
      <c r="G32" s="389"/>
      <c r="H32" s="389"/>
      <c r="I32" s="389"/>
      <c r="J32" s="389"/>
      <c r="K32" s="389"/>
      <c r="L32" s="389"/>
      <c r="M32" s="389"/>
      <c r="N32" s="389"/>
      <c r="O32" s="389"/>
      <c r="P32" s="389"/>
      <c r="Q32" s="389"/>
      <c r="R32" s="389"/>
      <c r="S32" s="389"/>
      <c r="T32" s="389"/>
      <c r="U32" s="389"/>
      <c r="V32" s="389"/>
      <c r="W32" s="389"/>
      <c r="X32" s="382"/>
      <c r="Y32" s="382"/>
      <c r="Z32" s="382"/>
      <c r="AA32" s="389"/>
      <c r="AB32" s="389"/>
      <c r="AC32" s="389"/>
      <c r="AD32" s="389"/>
      <c r="AE32" s="389"/>
      <c r="AF32" s="389"/>
      <c r="AG32" s="389"/>
      <c r="AH32" s="389"/>
      <c r="AI32" s="389"/>
      <c r="AJ32" s="389"/>
      <c r="AK32" s="389"/>
      <c r="AL32" s="382"/>
      <c r="AM32" s="382"/>
      <c r="AN32" s="382"/>
      <c r="AO32" s="389"/>
      <c r="AP32" s="389"/>
      <c r="AQ32" s="389"/>
      <c r="AR32" s="389"/>
      <c r="AS32" s="389"/>
      <c r="AT32" s="389"/>
      <c r="AU32" s="389"/>
      <c r="AV32" s="389"/>
      <c r="AW32" s="389"/>
      <c r="AX32" s="389"/>
      <c r="AY32" s="389"/>
      <c r="AZ32" s="382"/>
      <c r="BA32" s="382"/>
      <c r="BB32" s="382"/>
      <c r="BC32" s="389"/>
      <c r="BD32" s="389"/>
      <c r="BE32" s="389"/>
      <c r="BF32" s="389"/>
      <c r="BG32" s="389"/>
      <c r="BH32" s="389"/>
      <c r="BI32" s="389"/>
      <c r="BJ32" s="389"/>
      <c r="BK32" s="389"/>
      <c r="BL32" s="389"/>
      <c r="BM32" s="389"/>
    </row>
    <row r="33" spans="1:65" x14ac:dyDescent="0.25">
      <c r="A33" s="398"/>
      <c r="B33" s="382"/>
      <c r="C33" s="382"/>
      <c r="D33" s="382"/>
      <c r="E33" s="382"/>
      <c r="F33" s="389"/>
      <c r="G33" s="389"/>
      <c r="H33" s="389"/>
      <c r="I33" s="389"/>
      <c r="J33" s="389"/>
      <c r="K33" s="389"/>
      <c r="L33" s="389"/>
      <c r="M33" s="389"/>
      <c r="N33" s="389"/>
      <c r="O33" s="389"/>
      <c r="P33" s="389"/>
      <c r="Q33" s="389"/>
      <c r="R33" s="389"/>
      <c r="S33" s="389"/>
      <c r="T33" s="389"/>
      <c r="U33" s="389"/>
      <c r="V33" s="389"/>
      <c r="W33" s="389"/>
      <c r="X33" s="382"/>
      <c r="Y33" s="382"/>
      <c r="Z33" s="382"/>
      <c r="AA33" s="389"/>
      <c r="AB33" s="389"/>
      <c r="AC33" s="389"/>
      <c r="AD33" s="389"/>
      <c r="AE33" s="389"/>
      <c r="AF33" s="389"/>
      <c r="AG33" s="389"/>
      <c r="AH33" s="389"/>
      <c r="AI33" s="389"/>
      <c r="AJ33" s="389"/>
      <c r="AK33" s="389"/>
      <c r="AL33" s="382"/>
      <c r="AM33" s="382"/>
      <c r="AN33" s="382"/>
      <c r="AO33" s="389"/>
      <c r="AP33" s="389"/>
      <c r="AQ33" s="389"/>
      <c r="AR33" s="389"/>
      <c r="AS33" s="389"/>
      <c r="AT33" s="389"/>
      <c r="AU33" s="389"/>
      <c r="AV33" s="389"/>
      <c r="AW33" s="389"/>
      <c r="AX33" s="389"/>
      <c r="AY33" s="389"/>
      <c r="AZ33" s="382"/>
      <c r="BA33" s="382"/>
      <c r="BB33" s="382"/>
      <c r="BC33" s="389"/>
      <c r="BD33" s="389"/>
      <c r="BE33" s="389"/>
      <c r="BF33" s="389"/>
      <c r="BG33" s="389"/>
      <c r="BH33" s="389"/>
      <c r="BI33" s="389"/>
      <c r="BJ33" s="389"/>
      <c r="BK33" s="389"/>
      <c r="BL33" s="389"/>
      <c r="BM33" s="389"/>
    </row>
    <row r="34" spans="1:65" x14ac:dyDescent="0.25">
      <c r="A34" s="398" t="s">
        <v>249</v>
      </c>
      <c r="B34" s="389"/>
      <c r="C34" s="389"/>
      <c r="D34" s="389"/>
      <c r="E34" s="389"/>
      <c r="F34" s="389"/>
      <c r="G34" s="389"/>
      <c r="H34" s="389"/>
      <c r="I34" s="389"/>
      <c r="J34" s="389"/>
      <c r="K34" s="389"/>
      <c r="L34" s="389"/>
      <c r="M34" s="389"/>
      <c r="N34" s="389"/>
      <c r="O34" s="389"/>
      <c r="P34" s="389"/>
      <c r="Q34" s="389"/>
      <c r="R34" s="389"/>
      <c r="S34" s="389"/>
      <c r="T34" s="389"/>
      <c r="U34" s="389"/>
      <c r="V34" s="389"/>
      <c r="W34" s="389"/>
      <c r="X34" s="389"/>
      <c r="Y34" s="389"/>
      <c r="Z34" s="389"/>
      <c r="AA34" s="389"/>
      <c r="AB34" s="389"/>
      <c r="AC34" s="389"/>
      <c r="AD34" s="389"/>
      <c r="AE34" s="389"/>
      <c r="AF34" s="389"/>
      <c r="AG34" s="389"/>
      <c r="AH34" s="389"/>
      <c r="AI34" s="389"/>
      <c r="AJ34" s="389"/>
      <c r="AK34" s="389"/>
      <c r="AL34" s="389"/>
      <c r="AM34" s="389"/>
      <c r="AN34" s="389"/>
      <c r="AO34" s="389"/>
      <c r="AP34" s="389"/>
      <c r="AQ34" s="389"/>
      <c r="AR34" s="389"/>
      <c r="AS34" s="389"/>
      <c r="AT34" s="389"/>
      <c r="AU34" s="389"/>
      <c r="AV34" s="389"/>
      <c r="AW34" s="389"/>
      <c r="AX34" s="389"/>
      <c r="AY34" s="389"/>
      <c r="AZ34" s="389"/>
      <c r="BA34" s="389"/>
      <c r="BB34" s="389"/>
      <c r="BC34" s="389"/>
      <c r="BD34" s="389"/>
      <c r="BE34" s="389"/>
      <c r="BF34" s="389"/>
      <c r="BG34" s="389"/>
      <c r="BH34" s="389"/>
      <c r="BI34" s="389"/>
      <c r="BJ34" s="389"/>
      <c r="BK34" s="389"/>
      <c r="BL34" s="389"/>
      <c r="BM34" s="389"/>
    </row>
    <row r="35" spans="1:65" x14ac:dyDescent="0.25">
      <c r="A35" s="379" t="s">
        <v>250</v>
      </c>
      <c r="B35" s="382"/>
      <c r="C35" s="382"/>
      <c r="D35" s="382"/>
      <c r="E35" s="382"/>
      <c r="F35" s="389"/>
      <c r="G35" s="389"/>
      <c r="H35" s="389"/>
      <c r="I35" s="389"/>
      <c r="J35" s="389"/>
      <c r="K35" s="389"/>
      <c r="L35" s="389"/>
      <c r="M35" s="389"/>
      <c r="N35" s="389"/>
      <c r="O35" s="389"/>
      <c r="P35" s="389"/>
      <c r="Q35" s="389"/>
      <c r="R35" s="389"/>
      <c r="S35" s="389"/>
      <c r="T35" s="389"/>
      <c r="U35" s="389"/>
      <c r="V35" s="389"/>
      <c r="W35" s="389"/>
      <c r="X35" s="382"/>
      <c r="Y35" s="382"/>
      <c r="Z35" s="382"/>
      <c r="AA35" s="389"/>
      <c r="AB35" s="389"/>
      <c r="AC35" s="389"/>
      <c r="AD35" s="389"/>
      <c r="AE35" s="389"/>
      <c r="AF35" s="389"/>
      <c r="AG35" s="389"/>
      <c r="AH35" s="389"/>
      <c r="AI35" s="389"/>
      <c r="AJ35" s="389"/>
      <c r="AK35" s="389"/>
      <c r="AL35" s="382"/>
      <c r="AM35" s="382"/>
      <c r="AN35" s="382"/>
      <c r="AO35" s="389"/>
      <c r="AP35" s="389"/>
      <c r="AQ35" s="389"/>
      <c r="AR35" s="389"/>
      <c r="AS35" s="389"/>
      <c r="AT35" s="389"/>
      <c r="AU35" s="389"/>
      <c r="AV35" s="389"/>
      <c r="AW35" s="389"/>
      <c r="AX35" s="389"/>
      <c r="AY35" s="389"/>
      <c r="AZ35" s="382"/>
      <c r="BA35" s="382"/>
      <c r="BB35" s="382"/>
      <c r="BC35" s="389"/>
      <c r="BD35" s="389"/>
      <c r="BE35" s="389"/>
      <c r="BF35" s="389"/>
      <c r="BG35" s="389"/>
      <c r="BH35" s="389"/>
      <c r="BI35" s="389"/>
      <c r="BJ35" s="389"/>
      <c r="BK35" s="389"/>
      <c r="BL35" s="389"/>
      <c r="BM35" s="389"/>
    </row>
    <row r="36" spans="1:65" x14ac:dyDescent="0.25">
      <c r="A36" s="379" t="s">
        <v>251</v>
      </c>
      <c r="B36" s="382"/>
      <c r="C36" s="382"/>
      <c r="D36" s="382"/>
      <c r="E36" s="382"/>
      <c r="F36" s="389"/>
      <c r="G36" s="389"/>
      <c r="H36" s="389"/>
      <c r="I36" s="389"/>
      <c r="J36" s="389"/>
      <c r="K36" s="389"/>
      <c r="L36" s="389"/>
      <c r="M36" s="389"/>
      <c r="N36" s="389"/>
      <c r="O36" s="389"/>
      <c r="P36" s="389"/>
      <c r="Q36" s="389"/>
      <c r="R36" s="389"/>
      <c r="S36" s="389"/>
      <c r="T36" s="389"/>
      <c r="U36" s="389"/>
      <c r="V36" s="389"/>
      <c r="W36" s="389"/>
      <c r="X36" s="382"/>
      <c r="Y36" s="382"/>
      <c r="Z36" s="382"/>
      <c r="AA36" s="389"/>
      <c r="AB36" s="389"/>
      <c r="AC36" s="389"/>
      <c r="AD36" s="389"/>
      <c r="AE36" s="389"/>
      <c r="AF36" s="389"/>
      <c r="AG36" s="389"/>
      <c r="AH36" s="389"/>
      <c r="AI36" s="389"/>
      <c r="AJ36" s="389"/>
      <c r="AK36" s="389"/>
      <c r="AL36" s="382"/>
      <c r="AM36" s="382"/>
      <c r="AN36" s="382"/>
      <c r="AO36" s="389"/>
      <c r="AP36" s="389"/>
      <c r="AQ36" s="389"/>
      <c r="AR36" s="389"/>
      <c r="AS36" s="389"/>
      <c r="AT36" s="389"/>
      <c r="AU36" s="389"/>
      <c r="AV36" s="389"/>
      <c r="AW36" s="389"/>
      <c r="AX36" s="389"/>
      <c r="AY36" s="389"/>
      <c r="AZ36" s="382"/>
      <c r="BA36" s="382"/>
      <c r="BB36" s="382"/>
      <c r="BC36" s="389"/>
      <c r="BD36" s="389"/>
      <c r="BE36" s="389"/>
      <c r="BF36" s="389"/>
      <c r="BG36" s="389"/>
      <c r="BH36" s="389"/>
      <c r="BI36" s="389"/>
      <c r="BJ36" s="389"/>
      <c r="BK36" s="389"/>
      <c r="BL36" s="389"/>
      <c r="BM36" s="389"/>
    </row>
    <row r="37" spans="1:65" x14ac:dyDescent="0.25">
      <c r="A37" s="379" t="s">
        <v>252</v>
      </c>
      <c r="B37" s="382"/>
      <c r="C37" s="382"/>
      <c r="D37" s="382"/>
      <c r="E37" s="382"/>
      <c r="F37" s="389"/>
      <c r="G37" s="389"/>
      <c r="H37" s="389"/>
      <c r="I37" s="389"/>
      <c r="J37" s="389"/>
      <c r="K37" s="389"/>
      <c r="L37" s="389"/>
      <c r="M37" s="389"/>
      <c r="N37" s="389"/>
      <c r="O37" s="389"/>
      <c r="P37" s="389"/>
      <c r="Q37" s="389"/>
      <c r="R37" s="389"/>
      <c r="S37" s="389"/>
      <c r="T37" s="389"/>
      <c r="U37" s="389"/>
      <c r="V37" s="389"/>
      <c r="W37" s="389"/>
      <c r="X37" s="382"/>
      <c r="Y37" s="382"/>
      <c r="Z37" s="382"/>
      <c r="AA37" s="389"/>
      <c r="AB37" s="389"/>
      <c r="AC37" s="389"/>
      <c r="AD37" s="389"/>
      <c r="AE37" s="389"/>
      <c r="AF37" s="389"/>
      <c r="AG37" s="389"/>
      <c r="AH37" s="389"/>
      <c r="AI37" s="389"/>
      <c r="AJ37" s="389"/>
      <c r="AK37" s="389"/>
      <c r="AL37" s="382"/>
      <c r="AM37" s="382"/>
      <c r="AN37" s="382"/>
      <c r="AO37" s="389"/>
      <c r="AP37" s="389"/>
      <c r="AQ37" s="389"/>
      <c r="AR37" s="389"/>
      <c r="AS37" s="389"/>
      <c r="AT37" s="389"/>
      <c r="AU37" s="389"/>
      <c r="AV37" s="389"/>
      <c r="AW37" s="389"/>
      <c r="AX37" s="389"/>
      <c r="AY37" s="389"/>
      <c r="AZ37" s="382"/>
      <c r="BA37" s="382"/>
      <c r="BB37" s="382"/>
      <c r="BC37" s="389"/>
      <c r="BD37" s="389"/>
      <c r="BE37" s="389"/>
      <c r="BF37" s="389"/>
      <c r="BG37" s="389"/>
      <c r="BH37" s="389"/>
      <c r="BI37" s="389"/>
      <c r="BJ37" s="389"/>
      <c r="BK37" s="389"/>
      <c r="BL37" s="389"/>
      <c r="BM37" s="389"/>
    </row>
    <row r="38" spans="1:65" x14ac:dyDescent="0.25">
      <c r="A38" s="379" t="s">
        <v>253</v>
      </c>
      <c r="B38" s="382"/>
      <c r="C38" s="382"/>
      <c r="D38" s="382"/>
      <c r="E38" s="382"/>
      <c r="F38" s="389"/>
      <c r="G38" s="389"/>
      <c r="H38" s="389"/>
      <c r="I38" s="389"/>
      <c r="J38" s="389"/>
      <c r="K38" s="389"/>
      <c r="L38" s="389"/>
      <c r="M38" s="389"/>
      <c r="N38" s="389"/>
      <c r="O38" s="389"/>
      <c r="P38" s="389"/>
      <c r="Q38" s="389"/>
      <c r="R38" s="389"/>
      <c r="S38" s="389"/>
      <c r="T38" s="389"/>
      <c r="U38" s="389"/>
      <c r="V38" s="389"/>
      <c r="W38" s="389"/>
      <c r="X38" s="382"/>
      <c r="Y38" s="382"/>
      <c r="Z38" s="382"/>
      <c r="AA38" s="389"/>
      <c r="AB38" s="389"/>
      <c r="AC38" s="389"/>
      <c r="AD38" s="389"/>
      <c r="AE38" s="389"/>
      <c r="AF38" s="389"/>
      <c r="AG38" s="389"/>
      <c r="AH38" s="389"/>
      <c r="AI38" s="389"/>
      <c r="AJ38" s="389"/>
      <c r="AK38" s="389"/>
      <c r="AL38" s="382"/>
      <c r="AM38" s="382"/>
      <c r="AN38" s="382"/>
      <c r="AO38" s="389"/>
      <c r="AP38" s="389"/>
      <c r="AQ38" s="389"/>
      <c r="AR38" s="389"/>
      <c r="AS38" s="389"/>
      <c r="AT38" s="389"/>
      <c r="AU38" s="389"/>
      <c r="AV38" s="389"/>
      <c r="AW38" s="389"/>
      <c r="AX38" s="389"/>
      <c r="AY38" s="389"/>
      <c r="AZ38" s="382"/>
      <c r="BA38" s="382"/>
      <c r="BB38" s="382"/>
      <c r="BC38" s="389"/>
      <c r="BD38" s="389"/>
      <c r="BE38" s="389"/>
      <c r="BF38" s="389"/>
      <c r="BG38" s="389"/>
      <c r="BH38" s="389"/>
      <c r="BI38" s="389"/>
      <c r="BJ38" s="389"/>
      <c r="BK38" s="389"/>
      <c r="BL38" s="389"/>
      <c r="BM38" s="389"/>
    </row>
    <row r="39" spans="1:65" x14ac:dyDescent="0.25">
      <c r="A39" s="379"/>
      <c r="B39" s="382"/>
      <c r="C39" s="382"/>
      <c r="D39" s="382"/>
      <c r="E39" s="382"/>
      <c r="F39" s="389"/>
      <c r="G39" s="389"/>
      <c r="H39" s="389"/>
      <c r="I39" s="389"/>
      <c r="J39" s="389"/>
      <c r="K39" s="389"/>
      <c r="L39" s="389"/>
      <c r="M39" s="389"/>
      <c r="N39" s="389"/>
      <c r="O39" s="389"/>
      <c r="P39" s="389"/>
      <c r="Q39" s="389"/>
      <c r="R39" s="389"/>
      <c r="S39" s="389"/>
      <c r="T39" s="389"/>
      <c r="U39" s="389"/>
      <c r="V39" s="389"/>
      <c r="W39" s="389"/>
      <c r="X39" s="382"/>
      <c r="Y39" s="382"/>
      <c r="Z39" s="382"/>
      <c r="AA39" s="389"/>
      <c r="AB39" s="389"/>
      <c r="AC39" s="389"/>
      <c r="AD39" s="389"/>
      <c r="AE39" s="389"/>
      <c r="AF39" s="389"/>
      <c r="AG39" s="389"/>
      <c r="AH39" s="389"/>
      <c r="AI39" s="389"/>
      <c r="AJ39" s="389"/>
      <c r="AK39" s="389"/>
      <c r="AL39" s="382"/>
      <c r="AM39" s="382"/>
      <c r="AN39" s="382"/>
      <c r="AO39" s="389"/>
      <c r="AP39" s="389"/>
      <c r="AQ39" s="389"/>
      <c r="AR39" s="389"/>
      <c r="AS39" s="389"/>
      <c r="AT39" s="389"/>
      <c r="AU39" s="389"/>
      <c r="AV39" s="389"/>
      <c r="AW39" s="389"/>
      <c r="AX39" s="389"/>
      <c r="AY39" s="389"/>
      <c r="AZ39" s="382"/>
      <c r="BA39" s="382"/>
      <c r="BB39" s="382"/>
      <c r="BC39" s="389"/>
      <c r="BD39" s="389"/>
      <c r="BE39" s="389"/>
      <c r="BF39" s="389"/>
      <c r="BG39" s="389"/>
      <c r="BH39" s="389"/>
      <c r="BI39" s="389"/>
      <c r="BJ39" s="389"/>
      <c r="BK39" s="389"/>
      <c r="BL39" s="389"/>
      <c r="BM39" s="389"/>
    </row>
    <row r="40" spans="1:65" x14ac:dyDescent="0.25">
      <c r="A40" s="379" t="s">
        <v>254</v>
      </c>
      <c r="B40" s="382"/>
      <c r="C40" s="382"/>
      <c r="D40" s="382"/>
      <c r="E40" s="382"/>
      <c r="F40" s="389"/>
      <c r="G40" s="389"/>
      <c r="H40" s="389"/>
      <c r="I40" s="389"/>
      <c r="J40" s="389"/>
      <c r="K40" s="389"/>
      <c r="L40" s="389"/>
      <c r="M40" s="389"/>
      <c r="N40" s="389"/>
      <c r="O40" s="389"/>
      <c r="P40" s="389"/>
      <c r="Q40" s="389"/>
      <c r="R40" s="389"/>
      <c r="S40" s="389"/>
      <c r="T40" s="389"/>
      <c r="U40" s="389"/>
      <c r="V40" s="389"/>
      <c r="W40" s="389"/>
      <c r="X40" s="382"/>
      <c r="Y40" s="382"/>
      <c r="Z40" s="382"/>
      <c r="AA40" s="389"/>
      <c r="AB40" s="389"/>
      <c r="AC40" s="389"/>
      <c r="AD40" s="389"/>
      <c r="AE40" s="389"/>
      <c r="AF40" s="389"/>
      <c r="AG40" s="389"/>
      <c r="AH40" s="389"/>
      <c r="AI40" s="389"/>
      <c r="AJ40" s="389"/>
      <c r="AK40" s="389"/>
      <c r="AL40" s="382"/>
      <c r="AM40" s="382"/>
      <c r="AN40" s="382"/>
      <c r="AO40" s="389"/>
      <c r="AP40" s="389"/>
      <c r="AQ40" s="389"/>
      <c r="AR40" s="389"/>
      <c r="AS40" s="389"/>
      <c r="AT40" s="389"/>
      <c r="AU40" s="389"/>
      <c r="AV40" s="389"/>
      <c r="AW40" s="389"/>
      <c r="AX40" s="389"/>
      <c r="AY40" s="389"/>
      <c r="AZ40" s="382"/>
      <c r="BA40" s="382"/>
      <c r="BB40" s="382"/>
      <c r="BC40" s="389"/>
      <c r="BD40" s="389"/>
      <c r="BE40" s="389"/>
      <c r="BF40" s="389"/>
      <c r="BG40" s="389"/>
      <c r="BH40" s="389"/>
      <c r="BI40" s="389"/>
      <c r="BJ40" s="389"/>
      <c r="BK40" s="389"/>
      <c r="BL40" s="389"/>
      <c r="BM40" s="389"/>
    </row>
    <row r="41" spans="1:65" x14ac:dyDescent="0.25">
      <c r="A41" s="379" t="s">
        <v>54</v>
      </c>
      <c r="B41" s="382"/>
      <c r="C41" s="382"/>
      <c r="D41" s="382"/>
      <c r="E41" s="382"/>
      <c r="F41" s="389"/>
      <c r="G41" s="389"/>
      <c r="H41" s="389"/>
      <c r="I41" s="389"/>
      <c r="J41" s="389"/>
      <c r="K41" s="389"/>
      <c r="L41" s="389"/>
      <c r="M41" s="389"/>
      <c r="N41" s="389"/>
      <c r="O41" s="389"/>
      <c r="P41" s="389"/>
      <c r="Q41" s="389"/>
      <c r="R41" s="389"/>
      <c r="S41" s="389"/>
      <c r="T41" s="389"/>
      <c r="U41" s="389"/>
      <c r="V41" s="389"/>
      <c r="W41" s="389"/>
      <c r="X41" s="382"/>
      <c r="Y41" s="382"/>
      <c r="Z41" s="382"/>
      <c r="AA41" s="389"/>
      <c r="AB41" s="389"/>
      <c r="AC41" s="389"/>
      <c r="AD41" s="389"/>
      <c r="AE41" s="389"/>
      <c r="AF41" s="389"/>
      <c r="AG41" s="389"/>
      <c r="AH41" s="389"/>
      <c r="AI41" s="389"/>
      <c r="AJ41" s="389"/>
      <c r="AK41" s="389"/>
      <c r="AL41" s="382"/>
      <c r="AM41" s="382"/>
      <c r="AN41" s="382"/>
      <c r="AO41" s="389"/>
      <c r="AP41" s="389"/>
      <c r="AQ41" s="389"/>
      <c r="AR41" s="389"/>
      <c r="AS41" s="389"/>
      <c r="AT41" s="389"/>
      <c r="AU41" s="389"/>
      <c r="AV41" s="389"/>
      <c r="AW41" s="389"/>
      <c r="AX41" s="389"/>
      <c r="AY41" s="389"/>
      <c r="AZ41" s="382"/>
      <c r="BA41" s="382"/>
      <c r="BB41" s="382"/>
      <c r="BC41" s="389"/>
      <c r="BD41" s="389"/>
      <c r="BE41" s="389"/>
      <c r="BF41" s="389"/>
      <c r="BG41" s="389"/>
      <c r="BH41" s="389"/>
      <c r="BI41" s="389"/>
      <c r="BJ41" s="389"/>
      <c r="BK41" s="389"/>
      <c r="BL41" s="389"/>
      <c r="BM41" s="389"/>
    </row>
    <row r="42" spans="1:65" x14ac:dyDescent="0.25">
      <c r="A42" s="379" t="s">
        <v>255</v>
      </c>
      <c r="B42" s="382"/>
      <c r="C42" s="382"/>
      <c r="D42" s="382"/>
      <c r="E42" s="382"/>
      <c r="F42" s="389"/>
      <c r="G42" s="389"/>
      <c r="H42" s="389"/>
      <c r="I42" s="389"/>
      <c r="J42" s="389"/>
      <c r="K42" s="389"/>
      <c r="L42" s="389"/>
      <c r="M42" s="389"/>
      <c r="N42" s="389"/>
      <c r="O42" s="389"/>
      <c r="P42" s="389"/>
      <c r="Q42" s="389"/>
      <c r="R42" s="389"/>
      <c r="S42" s="389"/>
      <c r="T42" s="389"/>
      <c r="U42" s="389"/>
      <c r="V42" s="389"/>
      <c r="W42" s="389"/>
      <c r="X42" s="382"/>
      <c r="Y42" s="382"/>
      <c r="Z42" s="382"/>
      <c r="AA42" s="389"/>
      <c r="AB42" s="389"/>
      <c r="AC42" s="389"/>
      <c r="AD42" s="389"/>
      <c r="AE42" s="389"/>
      <c r="AF42" s="389"/>
      <c r="AG42" s="389"/>
      <c r="AH42" s="389"/>
      <c r="AI42" s="389"/>
      <c r="AJ42" s="389"/>
      <c r="AK42" s="389"/>
      <c r="AL42" s="382"/>
      <c r="AM42" s="382"/>
      <c r="AN42" s="382"/>
      <c r="AO42" s="389"/>
      <c r="AP42" s="389"/>
      <c r="AQ42" s="389"/>
      <c r="AR42" s="389"/>
      <c r="AS42" s="389"/>
      <c r="AT42" s="389"/>
      <c r="AU42" s="389"/>
      <c r="AV42" s="389"/>
      <c r="AW42" s="389"/>
      <c r="AX42" s="389"/>
      <c r="AY42" s="389"/>
      <c r="AZ42" s="382"/>
      <c r="BA42" s="382"/>
      <c r="BB42" s="382"/>
      <c r="BC42" s="389"/>
      <c r="BD42" s="389"/>
      <c r="BE42" s="389"/>
      <c r="BF42" s="389"/>
      <c r="BG42" s="389"/>
      <c r="BH42" s="389"/>
      <c r="BI42" s="389"/>
      <c r="BJ42" s="389"/>
      <c r="BK42" s="389"/>
      <c r="BL42" s="389"/>
      <c r="BM42" s="389"/>
    </row>
    <row r="43" spans="1:65" x14ac:dyDescent="0.25">
      <c r="A43" s="379" t="s">
        <v>256</v>
      </c>
      <c r="B43" s="382">
        <v>1500</v>
      </c>
      <c r="C43" s="382"/>
      <c r="D43" s="382"/>
      <c r="E43" s="382"/>
      <c r="F43" s="389"/>
      <c r="G43" s="389"/>
      <c r="H43" s="389"/>
      <c r="I43" s="389"/>
      <c r="J43" s="389"/>
      <c r="K43" s="389"/>
      <c r="L43" s="389"/>
      <c r="M43" s="389"/>
      <c r="N43" s="389"/>
      <c r="O43" s="389"/>
      <c r="P43" s="389"/>
      <c r="Q43" s="389"/>
      <c r="R43" s="389"/>
      <c r="S43" s="389"/>
      <c r="T43" s="389"/>
      <c r="U43" s="389"/>
      <c r="V43" s="389"/>
      <c r="W43" s="389"/>
      <c r="X43" s="382"/>
      <c r="Y43" s="382"/>
      <c r="Z43" s="382"/>
      <c r="AA43" s="389"/>
      <c r="AB43" s="389"/>
      <c r="AC43" s="389"/>
      <c r="AD43" s="389"/>
      <c r="AE43" s="389"/>
      <c r="AF43" s="389"/>
      <c r="AG43" s="389"/>
      <c r="AH43" s="389"/>
      <c r="AI43" s="389"/>
      <c r="AJ43" s="389"/>
      <c r="AK43" s="389"/>
      <c r="AL43" s="382"/>
      <c r="AM43" s="382"/>
      <c r="AN43" s="382"/>
      <c r="AO43" s="389"/>
      <c r="AP43" s="389"/>
      <c r="AQ43" s="389"/>
      <c r="AR43" s="389"/>
      <c r="AS43" s="389"/>
      <c r="AT43" s="389"/>
      <c r="AU43" s="389"/>
      <c r="AV43" s="389"/>
      <c r="AW43" s="389"/>
      <c r="AX43" s="389"/>
      <c r="AY43" s="389"/>
      <c r="AZ43" s="382"/>
      <c r="BA43" s="382"/>
      <c r="BB43" s="382"/>
      <c r="BC43" s="389"/>
      <c r="BD43" s="389"/>
      <c r="BE43" s="389"/>
      <c r="BF43" s="389"/>
      <c r="BG43" s="389"/>
      <c r="BH43" s="389"/>
      <c r="BI43" s="389"/>
      <c r="BJ43" s="389"/>
      <c r="BK43" s="389"/>
      <c r="BL43" s="389"/>
      <c r="BM43" s="389"/>
    </row>
    <row r="44" spans="1:65" x14ac:dyDescent="0.25">
      <c r="A44" s="379" t="s">
        <v>257</v>
      </c>
      <c r="B44" s="382"/>
      <c r="C44" s="382"/>
      <c r="D44" s="382"/>
      <c r="E44" s="382"/>
      <c r="F44" s="389"/>
      <c r="G44" s="389"/>
      <c r="H44" s="389"/>
      <c r="I44" s="389"/>
      <c r="J44" s="389"/>
      <c r="K44" s="389"/>
      <c r="L44" s="389"/>
      <c r="M44" s="389"/>
      <c r="N44" s="389"/>
      <c r="O44" s="389"/>
      <c r="P44" s="389"/>
      <c r="Q44" s="389"/>
      <c r="R44" s="389"/>
      <c r="S44" s="389"/>
      <c r="T44" s="389"/>
      <c r="U44" s="389"/>
      <c r="V44" s="389"/>
      <c r="W44" s="389"/>
      <c r="X44" s="382"/>
      <c r="Y44" s="382"/>
      <c r="Z44" s="382"/>
      <c r="AA44" s="389"/>
      <c r="AB44" s="389"/>
      <c r="AC44" s="389"/>
      <c r="AD44" s="389"/>
      <c r="AE44" s="389"/>
      <c r="AF44" s="389"/>
      <c r="AG44" s="389"/>
      <c r="AH44" s="389"/>
      <c r="AI44" s="389"/>
      <c r="AJ44" s="389"/>
      <c r="AK44" s="389"/>
      <c r="AL44" s="382"/>
      <c r="AM44" s="382"/>
      <c r="AN44" s="382"/>
      <c r="AO44" s="389"/>
      <c r="AP44" s="389"/>
      <c r="AQ44" s="389"/>
      <c r="AR44" s="389"/>
      <c r="AS44" s="389"/>
      <c r="AT44" s="389"/>
      <c r="AU44" s="389"/>
      <c r="AV44" s="389"/>
      <c r="AW44" s="389"/>
      <c r="AX44" s="389"/>
      <c r="AY44" s="389"/>
      <c r="AZ44" s="382"/>
      <c r="BA44" s="382"/>
      <c r="BB44" s="382"/>
      <c r="BC44" s="389"/>
      <c r="BD44" s="389"/>
      <c r="BE44" s="389"/>
      <c r="BF44" s="389"/>
      <c r="BG44" s="389"/>
      <c r="BH44" s="389"/>
      <c r="BI44" s="389"/>
      <c r="BJ44" s="389"/>
      <c r="BK44" s="389"/>
      <c r="BL44" s="389"/>
      <c r="BM44" s="389"/>
    </row>
    <row r="45" spans="1:65" x14ac:dyDescent="0.25">
      <c r="A45" s="379" t="s">
        <v>258</v>
      </c>
      <c r="B45" s="382"/>
      <c r="C45" s="382"/>
      <c r="D45" s="382"/>
      <c r="E45" s="382"/>
      <c r="F45" s="382"/>
      <c r="G45" s="382"/>
      <c r="H45" s="382"/>
      <c r="I45" s="382"/>
      <c r="J45" s="382"/>
      <c r="K45" s="382"/>
      <c r="L45" s="382"/>
      <c r="M45" s="382"/>
      <c r="N45" s="382"/>
      <c r="O45" s="382"/>
      <c r="P45" s="382"/>
      <c r="Q45" s="382"/>
      <c r="R45" s="382"/>
      <c r="S45" s="382"/>
      <c r="T45" s="382"/>
      <c r="U45" s="382"/>
      <c r="V45" s="382"/>
      <c r="W45" s="382"/>
      <c r="X45" s="382"/>
      <c r="Y45" s="382"/>
      <c r="Z45" s="382"/>
      <c r="AA45" s="382"/>
      <c r="AB45" s="382"/>
      <c r="AC45" s="382"/>
      <c r="AD45" s="382"/>
      <c r="AE45" s="382"/>
      <c r="AF45" s="382"/>
      <c r="AG45" s="382"/>
      <c r="AH45" s="382"/>
      <c r="AI45" s="382"/>
      <c r="AJ45" s="382"/>
      <c r="AK45" s="382"/>
      <c r="AL45" s="382"/>
      <c r="AM45" s="382"/>
      <c r="AN45" s="382"/>
      <c r="AO45" s="382"/>
      <c r="AP45" s="382"/>
      <c r="AQ45" s="382"/>
      <c r="AR45" s="382"/>
      <c r="AS45" s="382"/>
      <c r="AT45" s="382"/>
      <c r="AU45" s="382"/>
      <c r="AV45" s="382"/>
      <c r="AW45" s="382"/>
      <c r="AX45" s="382"/>
      <c r="AY45" s="382"/>
      <c r="AZ45" s="382"/>
      <c r="BA45" s="382"/>
      <c r="BB45" s="382"/>
      <c r="BC45" s="382"/>
      <c r="BD45" s="382"/>
      <c r="BE45" s="382"/>
      <c r="BF45" s="382"/>
      <c r="BG45" s="382"/>
      <c r="BH45" s="382"/>
      <c r="BI45" s="382"/>
      <c r="BJ45" s="382"/>
      <c r="BK45" s="382"/>
      <c r="BL45" s="382"/>
      <c r="BM45" s="382"/>
    </row>
    <row r="46" spans="1:65" x14ac:dyDescent="0.25">
      <c r="A46" s="379" t="s">
        <v>259</v>
      </c>
      <c r="B46" s="382"/>
      <c r="C46" s="382"/>
      <c r="D46" s="382"/>
      <c r="E46" s="382"/>
      <c r="F46" s="382"/>
      <c r="G46" s="382"/>
      <c r="H46" s="382"/>
      <c r="I46" s="382"/>
      <c r="J46" s="382"/>
      <c r="K46" s="382"/>
      <c r="L46" s="382"/>
      <c r="M46" s="382"/>
      <c r="N46" s="382"/>
      <c r="O46" s="382"/>
      <c r="P46" s="382"/>
      <c r="Q46" s="382"/>
      <c r="R46" s="382"/>
      <c r="S46" s="382"/>
      <c r="T46" s="382"/>
      <c r="U46" s="382"/>
      <c r="V46" s="382"/>
      <c r="W46" s="382"/>
      <c r="X46" s="382"/>
      <c r="Y46" s="382"/>
      <c r="Z46" s="382"/>
      <c r="AA46" s="382"/>
      <c r="AB46" s="382"/>
      <c r="AC46" s="382"/>
      <c r="AD46" s="382"/>
      <c r="AE46" s="382"/>
      <c r="AF46" s="382"/>
      <c r="AG46" s="382"/>
      <c r="AH46" s="382"/>
      <c r="AI46" s="382"/>
      <c r="AJ46" s="382"/>
      <c r="AK46" s="382"/>
      <c r="AL46" s="382"/>
      <c r="AM46" s="382"/>
      <c r="AN46" s="382"/>
      <c r="AO46" s="382"/>
      <c r="AP46" s="382"/>
      <c r="AQ46" s="382"/>
      <c r="AR46" s="382"/>
      <c r="AS46" s="382"/>
      <c r="AT46" s="382"/>
      <c r="AU46" s="382"/>
      <c r="AV46" s="382"/>
      <c r="AW46" s="382"/>
      <c r="AX46" s="382"/>
      <c r="AY46" s="382"/>
      <c r="AZ46" s="382"/>
      <c r="BA46" s="382"/>
      <c r="BB46" s="382"/>
      <c r="BC46" s="382"/>
      <c r="BD46" s="382"/>
      <c r="BE46" s="382"/>
      <c r="BF46" s="382"/>
      <c r="BG46" s="382"/>
      <c r="BH46" s="382"/>
      <c r="BI46" s="382"/>
      <c r="BJ46" s="382"/>
      <c r="BK46" s="382"/>
      <c r="BL46" s="382"/>
      <c r="BM46" s="382"/>
    </row>
    <row r="47" spans="1:65" ht="14.25" thickBot="1" x14ac:dyDescent="0.3">
      <c r="A47" s="372"/>
      <c r="B47" s="383"/>
      <c r="C47" s="383"/>
      <c r="D47" s="383"/>
      <c r="E47" s="383"/>
      <c r="F47" s="383"/>
      <c r="G47" s="399"/>
      <c r="H47" s="399"/>
      <c r="I47" s="399"/>
      <c r="J47" s="399"/>
      <c r="K47" s="399"/>
      <c r="L47" s="399"/>
      <c r="M47" s="399"/>
      <c r="N47" s="399"/>
      <c r="O47" s="399"/>
      <c r="P47" s="399"/>
      <c r="Q47" s="399"/>
      <c r="R47" s="399"/>
      <c r="S47" s="399"/>
      <c r="T47" s="399"/>
      <c r="U47" s="399"/>
      <c r="V47" s="399"/>
      <c r="W47" s="399"/>
      <c r="X47" s="383"/>
      <c r="Y47" s="383"/>
      <c r="Z47" s="383"/>
      <c r="AA47" s="383"/>
      <c r="AB47" s="399"/>
      <c r="AC47" s="399"/>
      <c r="AD47" s="399"/>
      <c r="AE47" s="399"/>
      <c r="AF47" s="399"/>
      <c r="AG47" s="399"/>
      <c r="AH47" s="399"/>
      <c r="AI47" s="399"/>
      <c r="AJ47" s="399"/>
      <c r="AK47" s="399"/>
      <c r="AL47" s="383"/>
      <c r="AM47" s="383"/>
      <c r="AN47" s="383"/>
      <c r="AO47" s="383"/>
      <c r="AP47" s="399"/>
      <c r="AQ47" s="399"/>
      <c r="AR47" s="399"/>
      <c r="AS47" s="399"/>
      <c r="AT47" s="399"/>
      <c r="AU47" s="399"/>
      <c r="AV47" s="399"/>
      <c r="AW47" s="399"/>
      <c r="AX47" s="399"/>
      <c r="AY47" s="399"/>
      <c r="AZ47" s="383"/>
      <c r="BA47" s="383"/>
      <c r="BB47" s="383"/>
      <c r="BC47" s="383"/>
      <c r="BD47" s="399"/>
      <c r="BE47" s="399"/>
      <c r="BF47" s="399"/>
      <c r="BG47" s="399"/>
      <c r="BH47" s="399"/>
      <c r="BI47" s="399"/>
      <c r="BJ47" s="399"/>
      <c r="BK47" s="399"/>
      <c r="BL47" s="399"/>
      <c r="BM47" s="399"/>
    </row>
    <row r="48" spans="1:65" ht="14.25" thickBot="1" x14ac:dyDescent="0.3">
      <c r="A48" s="437" t="s">
        <v>17</v>
      </c>
      <c r="B48" s="438">
        <f t="shared" ref="B48:W48" si="2">SUM(B12:B47)</f>
        <v>160000</v>
      </c>
      <c r="C48" s="438">
        <f t="shared" si="2"/>
        <v>142500</v>
      </c>
      <c r="D48" s="438">
        <f t="shared" si="2"/>
        <v>132500</v>
      </c>
      <c r="E48" s="438">
        <f t="shared" si="2"/>
        <v>132500</v>
      </c>
      <c r="F48" s="438">
        <f t="shared" si="2"/>
        <v>132500</v>
      </c>
      <c r="G48" s="438">
        <f t="shared" si="2"/>
        <v>132500</v>
      </c>
      <c r="H48" s="438">
        <f t="shared" si="2"/>
        <v>132500</v>
      </c>
      <c r="I48" s="438">
        <f t="shared" si="2"/>
        <v>132500</v>
      </c>
      <c r="J48" s="438">
        <f t="shared" si="2"/>
        <v>142500</v>
      </c>
      <c r="K48" s="438">
        <f t="shared" si="2"/>
        <v>142500</v>
      </c>
      <c r="L48" s="438">
        <f t="shared" si="2"/>
        <v>142500</v>
      </c>
      <c r="M48" s="438">
        <f t="shared" si="2"/>
        <v>142500</v>
      </c>
      <c r="N48" s="438">
        <f t="shared" si="2"/>
        <v>142500</v>
      </c>
      <c r="O48" s="438">
        <f t="shared" si="2"/>
        <v>142500</v>
      </c>
      <c r="P48" s="438">
        <f t="shared" si="2"/>
        <v>142500</v>
      </c>
      <c r="Q48" s="438">
        <f t="shared" si="2"/>
        <v>142500</v>
      </c>
      <c r="R48" s="438">
        <f t="shared" si="2"/>
        <v>142500</v>
      </c>
      <c r="S48" s="438">
        <f t="shared" si="2"/>
        <v>142500</v>
      </c>
      <c r="T48" s="438">
        <f t="shared" si="2"/>
        <v>142500</v>
      </c>
      <c r="U48" s="438">
        <f t="shared" si="2"/>
        <v>142500</v>
      </c>
      <c r="V48" s="438">
        <f t="shared" si="2"/>
        <v>142500</v>
      </c>
      <c r="W48" s="439">
        <f t="shared" si="2"/>
        <v>142500</v>
      </c>
      <c r="X48" s="438">
        <f t="shared" ref="X48:BM48" si="3">SUM(X12:X47)</f>
        <v>142500</v>
      </c>
      <c r="Y48" s="438">
        <f t="shared" si="3"/>
        <v>142500</v>
      </c>
      <c r="Z48" s="438">
        <f t="shared" si="3"/>
        <v>142500</v>
      </c>
      <c r="AA48" s="438">
        <f t="shared" si="3"/>
        <v>142500</v>
      </c>
      <c r="AB48" s="438">
        <f t="shared" si="3"/>
        <v>142500</v>
      </c>
      <c r="AC48" s="438">
        <f t="shared" si="3"/>
        <v>142500</v>
      </c>
      <c r="AD48" s="438">
        <f t="shared" si="3"/>
        <v>142500</v>
      </c>
      <c r="AE48" s="438">
        <f t="shared" si="3"/>
        <v>142500</v>
      </c>
      <c r="AF48" s="438">
        <f t="shared" si="3"/>
        <v>142500</v>
      </c>
      <c r="AG48" s="438">
        <f t="shared" si="3"/>
        <v>142500</v>
      </c>
      <c r="AH48" s="438">
        <f t="shared" si="3"/>
        <v>142500</v>
      </c>
      <c r="AI48" s="438">
        <f t="shared" si="3"/>
        <v>142500</v>
      </c>
      <c r="AJ48" s="438">
        <f t="shared" si="3"/>
        <v>142500</v>
      </c>
      <c r="AK48" s="438">
        <f t="shared" si="3"/>
        <v>142500</v>
      </c>
      <c r="AL48" s="438">
        <f t="shared" si="3"/>
        <v>142500</v>
      </c>
      <c r="AM48" s="438">
        <f t="shared" si="3"/>
        <v>142500</v>
      </c>
      <c r="AN48" s="438">
        <f t="shared" si="3"/>
        <v>142500</v>
      </c>
      <c r="AO48" s="438">
        <f>SUM(AO12:AO47)</f>
        <v>142500</v>
      </c>
      <c r="AP48" s="438">
        <f t="shared" si="3"/>
        <v>142500</v>
      </c>
      <c r="AQ48" s="438">
        <f t="shared" si="3"/>
        <v>142500</v>
      </c>
      <c r="AR48" s="438">
        <f t="shared" si="3"/>
        <v>142500</v>
      </c>
      <c r="AS48" s="438">
        <f t="shared" si="3"/>
        <v>142500</v>
      </c>
      <c r="AT48" s="438">
        <f t="shared" si="3"/>
        <v>142500</v>
      </c>
      <c r="AU48" s="438">
        <f t="shared" si="3"/>
        <v>142500</v>
      </c>
      <c r="AV48" s="438">
        <f t="shared" si="3"/>
        <v>142500</v>
      </c>
      <c r="AW48" s="438">
        <f t="shared" si="3"/>
        <v>142500</v>
      </c>
      <c r="AX48" s="438">
        <f t="shared" si="3"/>
        <v>142500</v>
      </c>
      <c r="AY48" s="438">
        <f t="shared" si="3"/>
        <v>142500</v>
      </c>
      <c r="AZ48" s="438">
        <f t="shared" si="3"/>
        <v>142500</v>
      </c>
      <c r="BA48" s="438">
        <f t="shared" si="3"/>
        <v>142500</v>
      </c>
      <c r="BB48" s="438">
        <f t="shared" si="3"/>
        <v>142500</v>
      </c>
      <c r="BC48" s="438">
        <f t="shared" si="3"/>
        <v>142500</v>
      </c>
      <c r="BD48" s="438">
        <f t="shared" si="3"/>
        <v>142500</v>
      </c>
      <c r="BE48" s="438">
        <f t="shared" si="3"/>
        <v>142500</v>
      </c>
      <c r="BF48" s="438">
        <f t="shared" si="3"/>
        <v>142500</v>
      </c>
      <c r="BG48" s="438">
        <f t="shared" si="3"/>
        <v>142500</v>
      </c>
      <c r="BH48" s="438">
        <f t="shared" si="3"/>
        <v>142500</v>
      </c>
      <c r="BI48" s="438">
        <f t="shared" si="3"/>
        <v>142500</v>
      </c>
      <c r="BJ48" s="438">
        <f t="shared" si="3"/>
        <v>142500</v>
      </c>
      <c r="BK48" s="438">
        <f t="shared" si="3"/>
        <v>142500</v>
      </c>
      <c r="BL48" s="438">
        <f t="shared" si="3"/>
        <v>142500</v>
      </c>
      <c r="BM48" s="438">
        <f t="shared" si="3"/>
        <v>142500</v>
      </c>
    </row>
    <row r="49" spans="1:65" ht="15.75" thickBot="1" x14ac:dyDescent="0.3">
      <c r="A49" s="436" t="s">
        <v>260</v>
      </c>
      <c r="B49" s="435">
        <v>160000</v>
      </c>
      <c r="C49" s="435">
        <f>B49</f>
        <v>160000</v>
      </c>
      <c r="D49" s="435">
        <f t="shared" ref="D49:V49" si="4">C49</f>
        <v>160000</v>
      </c>
      <c r="E49" s="435">
        <f t="shared" si="4"/>
        <v>160000</v>
      </c>
      <c r="F49" s="435">
        <f t="shared" si="4"/>
        <v>160000</v>
      </c>
      <c r="G49" s="435">
        <f t="shared" si="4"/>
        <v>160000</v>
      </c>
      <c r="H49" s="435">
        <f t="shared" si="4"/>
        <v>160000</v>
      </c>
      <c r="I49" s="435">
        <f t="shared" si="4"/>
        <v>160000</v>
      </c>
      <c r="J49" s="435">
        <f t="shared" si="4"/>
        <v>160000</v>
      </c>
      <c r="K49" s="435">
        <f t="shared" si="4"/>
        <v>160000</v>
      </c>
      <c r="L49" s="435">
        <f t="shared" si="4"/>
        <v>160000</v>
      </c>
      <c r="M49" s="435">
        <f t="shared" si="4"/>
        <v>160000</v>
      </c>
      <c r="N49" s="435">
        <f t="shared" si="4"/>
        <v>160000</v>
      </c>
      <c r="O49" s="435">
        <f t="shared" si="4"/>
        <v>160000</v>
      </c>
      <c r="P49" s="435">
        <f t="shared" si="4"/>
        <v>160000</v>
      </c>
      <c r="Q49" s="435">
        <f t="shared" si="4"/>
        <v>160000</v>
      </c>
      <c r="R49" s="435">
        <f t="shared" si="4"/>
        <v>160000</v>
      </c>
      <c r="S49" s="435">
        <f t="shared" si="4"/>
        <v>160000</v>
      </c>
      <c r="T49" s="435">
        <f t="shared" si="4"/>
        <v>160000</v>
      </c>
      <c r="U49" s="435">
        <f t="shared" si="4"/>
        <v>160000</v>
      </c>
      <c r="V49" s="435">
        <f t="shared" si="4"/>
        <v>160000</v>
      </c>
      <c r="W49" s="435">
        <f>V49</f>
        <v>160000</v>
      </c>
      <c r="X49" s="435">
        <f>W49</f>
        <v>160000</v>
      </c>
      <c r="Y49" s="435">
        <f t="shared" ref="Y49" si="5">X49</f>
        <v>160000</v>
      </c>
      <c r="Z49" s="435">
        <f t="shared" ref="Z49" si="6">Y49</f>
        <v>160000</v>
      </c>
      <c r="AA49" s="435">
        <f t="shared" ref="AA49" si="7">Z49</f>
        <v>160000</v>
      </c>
      <c r="AB49" s="435">
        <f t="shared" ref="AB49" si="8">AA49</f>
        <v>160000</v>
      </c>
      <c r="AC49" s="435">
        <f t="shared" ref="AC49" si="9">AB49</f>
        <v>160000</v>
      </c>
      <c r="AD49" s="435">
        <f t="shared" ref="AD49" si="10">AC49</f>
        <v>160000</v>
      </c>
      <c r="AE49" s="435">
        <f t="shared" ref="AE49" si="11">AD49</f>
        <v>160000</v>
      </c>
      <c r="AF49" s="435">
        <f t="shared" ref="AF49" si="12">AE49</f>
        <v>160000</v>
      </c>
      <c r="AG49" s="435">
        <f t="shared" ref="AG49" si="13">AF49</f>
        <v>160000</v>
      </c>
      <c r="AH49" s="435">
        <f t="shared" ref="AH49" si="14">AG49</f>
        <v>160000</v>
      </c>
      <c r="AI49" s="435">
        <f t="shared" ref="AI49" si="15">AH49</f>
        <v>160000</v>
      </c>
      <c r="AJ49" s="435">
        <f t="shared" ref="AJ49" si="16">AI49</f>
        <v>160000</v>
      </c>
      <c r="AK49" s="435">
        <f t="shared" ref="AK49" si="17">AJ49</f>
        <v>160000</v>
      </c>
      <c r="AL49" s="435">
        <f>AK49</f>
        <v>160000</v>
      </c>
      <c r="AM49" s="435">
        <f t="shared" ref="AM49" si="18">AL49</f>
        <v>160000</v>
      </c>
      <c r="AN49" s="435">
        <f t="shared" ref="AN49" si="19">AM49</f>
        <v>160000</v>
      </c>
      <c r="AO49" s="435">
        <v>190000</v>
      </c>
      <c r="AP49" s="435">
        <f t="shared" ref="AP49" si="20">AO49</f>
        <v>190000</v>
      </c>
      <c r="AQ49" s="435">
        <f t="shared" ref="AQ49" si="21">AP49</f>
        <v>190000</v>
      </c>
      <c r="AR49" s="435">
        <f t="shared" ref="AR49" si="22">AQ49</f>
        <v>190000</v>
      </c>
      <c r="AS49" s="435">
        <f t="shared" ref="AS49" si="23">AR49</f>
        <v>190000</v>
      </c>
      <c r="AT49" s="435">
        <f t="shared" ref="AT49" si="24">AS49</f>
        <v>190000</v>
      </c>
      <c r="AU49" s="435">
        <f t="shared" ref="AU49" si="25">AT49</f>
        <v>190000</v>
      </c>
      <c r="AV49" s="435">
        <f t="shared" ref="AV49" si="26">AU49</f>
        <v>190000</v>
      </c>
      <c r="AW49" s="435">
        <f t="shared" ref="AW49" si="27">AV49</f>
        <v>190000</v>
      </c>
      <c r="AX49" s="435">
        <f t="shared" ref="AX49" si="28">AW49</f>
        <v>190000</v>
      </c>
      <c r="AY49" s="435">
        <f t="shared" ref="AY49" si="29">AX49</f>
        <v>190000</v>
      </c>
      <c r="AZ49" s="435">
        <f>AY49</f>
        <v>190000</v>
      </c>
      <c r="BA49" s="435">
        <f t="shared" ref="BA49" si="30">AZ49</f>
        <v>190000</v>
      </c>
      <c r="BB49" s="435">
        <f t="shared" ref="BB49" si="31">BA49</f>
        <v>190000</v>
      </c>
      <c r="BC49" s="435">
        <f t="shared" ref="BC49" si="32">BB49</f>
        <v>190000</v>
      </c>
      <c r="BD49" s="435">
        <f t="shared" ref="BD49" si="33">BC49</f>
        <v>190000</v>
      </c>
      <c r="BE49" s="435">
        <f t="shared" ref="BE49" si="34">BD49</f>
        <v>190000</v>
      </c>
      <c r="BF49" s="435">
        <f t="shared" ref="BF49" si="35">BE49</f>
        <v>190000</v>
      </c>
      <c r="BG49" s="435">
        <f t="shared" ref="BG49" si="36">BF49</f>
        <v>190000</v>
      </c>
      <c r="BH49" s="435">
        <f t="shared" ref="BH49" si="37">BG49</f>
        <v>190000</v>
      </c>
      <c r="BI49" s="435">
        <f t="shared" ref="BI49" si="38">BH49</f>
        <v>190000</v>
      </c>
      <c r="BJ49" s="435">
        <f t="shared" ref="BJ49" si="39">BI49</f>
        <v>190000</v>
      </c>
      <c r="BK49" s="435">
        <f t="shared" ref="BK49" si="40">BJ49</f>
        <v>190000</v>
      </c>
      <c r="BL49" s="435">
        <f t="shared" ref="BL49" si="41">BK49</f>
        <v>190000</v>
      </c>
      <c r="BM49" s="435">
        <f t="shared" ref="BM49" si="42">BL49</f>
        <v>190000</v>
      </c>
    </row>
    <row r="50" spans="1:65" s="401" customFormat="1" ht="14.25" thickBot="1" x14ac:dyDescent="0.3">
      <c r="A50" s="400" t="s">
        <v>261</v>
      </c>
      <c r="B50" s="409">
        <f>B48-B49</f>
        <v>0</v>
      </c>
      <c r="C50" s="409">
        <f t="shared" ref="C50:W50" si="43">C48-C49</f>
        <v>-17500</v>
      </c>
      <c r="D50" s="409">
        <f t="shared" si="43"/>
        <v>-27500</v>
      </c>
      <c r="E50" s="409">
        <f t="shared" si="43"/>
        <v>-27500</v>
      </c>
      <c r="F50" s="409">
        <f t="shared" si="43"/>
        <v>-27500</v>
      </c>
      <c r="G50" s="409">
        <f t="shared" si="43"/>
        <v>-27500</v>
      </c>
      <c r="H50" s="409">
        <f t="shared" si="43"/>
        <v>-27500</v>
      </c>
      <c r="I50" s="409">
        <f t="shared" si="43"/>
        <v>-27500</v>
      </c>
      <c r="J50" s="409">
        <f t="shared" si="43"/>
        <v>-17500</v>
      </c>
      <c r="K50" s="409">
        <f t="shared" si="43"/>
        <v>-17500</v>
      </c>
      <c r="L50" s="409">
        <f t="shared" si="43"/>
        <v>-17500</v>
      </c>
      <c r="M50" s="409">
        <f t="shared" si="43"/>
        <v>-17500</v>
      </c>
      <c r="N50" s="409">
        <f t="shared" si="43"/>
        <v>-17500</v>
      </c>
      <c r="O50" s="409">
        <f t="shared" si="43"/>
        <v>-17500</v>
      </c>
      <c r="P50" s="409">
        <f t="shared" si="43"/>
        <v>-17500</v>
      </c>
      <c r="Q50" s="409">
        <f t="shared" si="43"/>
        <v>-17500</v>
      </c>
      <c r="R50" s="409">
        <f t="shared" si="43"/>
        <v>-17500</v>
      </c>
      <c r="S50" s="409">
        <f t="shared" si="43"/>
        <v>-17500</v>
      </c>
      <c r="T50" s="409">
        <f t="shared" si="43"/>
        <v>-17500</v>
      </c>
      <c r="U50" s="409">
        <f t="shared" si="43"/>
        <v>-17500</v>
      </c>
      <c r="V50" s="409">
        <f t="shared" si="43"/>
        <v>-17500</v>
      </c>
      <c r="W50" s="410">
        <f t="shared" si="43"/>
        <v>-17500</v>
      </c>
      <c r="X50" s="409">
        <f t="shared" ref="X50:BM50" si="44">X48-X49</f>
        <v>-17500</v>
      </c>
      <c r="Y50" s="409">
        <f t="shared" si="44"/>
        <v>-17500</v>
      </c>
      <c r="Z50" s="409">
        <f t="shared" si="44"/>
        <v>-17500</v>
      </c>
      <c r="AA50" s="409">
        <f t="shared" si="44"/>
        <v>-17500</v>
      </c>
      <c r="AB50" s="409">
        <f t="shared" si="44"/>
        <v>-17500</v>
      </c>
      <c r="AC50" s="409">
        <f t="shared" si="44"/>
        <v>-17500</v>
      </c>
      <c r="AD50" s="409">
        <f t="shared" si="44"/>
        <v>-17500</v>
      </c>
      <c r="AE50" s="409">
        <f t="shared" si="44"/>
        <v>-17500</v>
      </c>
      <c r="AF50" s="409">
        <f t="shared" si="44"/>
        <v>-17500</v>
      </c>
      <c r="AG50" s="409">
        <f t="shared" si="44"/>
        <v>-17500</v>
      </c>
      <c r="AH50" s="409">
        <f t="shared" si="44"/>
        <v>-17500</v>
      </c>
      <c r="AI50" s="409">
        <f t="shared" si="44"/>
        <v>-17500</v>
      </c>
      <c r="AJ50" s="409">
        <f t="shared" si="44"/>
        <v>-17500</v>
      </c>
      <c r="AK50" s="409">
        <f t="shared" si="44"/>
        <v>-17500</v>
      </c>
      <c r="AL50" s="409">
        <f t="shared" si="44"/>
        <v>-17500</v>
      </c>
      <c r="AM50" s="409">
        <f t="shared" si="44"/>
        <v>-17500</v>
      </c>
      <c r="AN50" s="409">
        <f t="shared" si="44"/>
        <v>-17500</v>
      </c>
      <c r="AO50" s="409">
        <f t="shared" si="44"/>
        <v>-47500</v>
      </c>
      <c r="AP50" s="409">
        <f t="shared" si="44"/>
        <v>-47500</v>
      </c>
      <c r="AQ50" s="409">
        <f t="shared" si="44"/>
        <v>-47500</v>
      </c>
      <c r="AR50" s="409">
        <f t="shared" si="44"/>
        <v>-47500</v>
      </c>
      <c r="AS50" s="409">
        <f t="shared" si="44"/>
        <v>-47500</v>
      </c>
      <c r="AT50" s="409">
        <f t="shared" si="44"/>
        <v>-47500</v>
      </c>
      <c r="AU50" s="409">
        <f t="shared" si="44"/>
        <v>-47500</v>
      </c>
      <c r="AV50" s="409">
        <f t="shared" si="44"/>
        <v>-47500</v>
      </c>
      <c r="AW50" s="409">
        <f t="shared" si="44"/>
        <v>-47500</v>
      </c>
      <c r="AX50" s="409">
        <f t="shared" si="44"/>
        <v>-47500</v>
      </c>
      <c r="AY50" s="409">
        <f t="shared" si="44"/>
        <v>-47500</v>
      </c>
      <c r="AZ50" s="409">
        <f t="shared" si="44"/>
        <v>-47500</v>
      </c>
      <c r="BA50" s="409">
        <f t="shared" si="44"/>
        <v>-47500</v>
      </c>
      <c r="BB50" s="409">
        <f t="shared" si="44"/>
        <v>-47500</v>
      </c>
      <c r="BC50" s="409">
        <f t="shared" si="44"/>
        <v>-47500</v>
      </c>
      <c r="BD50" s="409">
        <f t="shared" si="44"/>
        <v>-47500</v>
      </c>
      <c r="BE50" s="409">
        <f t="shared" si="44"/>
        <v>-47500</v>
      </c>
      <c r="BF50" s="409">
        <f t="shared" si="44"/>
        <v>-47500</v>
      </c>
      <c r="BG50" s="409">
        <f t="shared" si="44"/>
        <v>-47500</v>
      </c>
      <c r="BH50" s="409">
        <f t="shared" si="44"/>
        <v>-47500</v>
      </c>
      <c r="BI50" s="409">
        <f t="shared" si="44"/>
        <v>-47500</v>
      </c>
      <c r="BJ50" s="409">
        <f t="shared" si="44"/>
        <v>-47500</v>
      </c>
      <c r="BK50" s="409">
        <f t="shared" si="44"/>
        <v>-47500</v>
      </c>
      <c r="BL50" s="409">
        <f t="shared" si="44"/>
        <v>-47500</v>
      </c>
      <c r="BM50" s="409">
        <f t="shared" si="44"/>
        <v>-47500</v>
      </c>
    </row>
    <row r="51" spans="1:65" s="477" customFormat="1" ht="14.25" thickBot="1" x14ac:dyDescent="0.3">
      <c r="A51" s="402" t="s">
        <v>262</v>
      </c>
      <c r="B51" s="476" t="s">
        <v>263</v>
      </c>
      <c r="C51" s="404"/>
      <c r="D51" s="404"/>
      <c r="E51" s="476"/>
      <c r="F51" s="404"/>
      <c r="G51" s="404"/>
      <c r="H51" s="404"/>
      <c r="I51" s="404"/>
      <c r="J51" s="404"/>
      <c r="K51" s="404"/>
      <c r="L51" s="404"/>
      <c r="M51" s="404"/>
      <c r="N51" s="404"/>
      <c r="O51" s="404"/>
      <c r="P51" s="404"/>
      <c r="Q51" s="404"/>
      <c r="R51" s="404"/>
      <c r="S51" s="404"/>
      <c r="T51" s="404"/>
      <c r="U51" s="404"/>
      <c r="V51" s="404"/>
      <c r="W51" s="405"/>
      <c r="X51" s="404"/>
      <c r="Y51" s="404"/>
      <c r="Z51" s="476"/>
      <c r="AA51" s="404"/>
      <c r="AB51" s="404"/>
      <c r="AC51" s="404"/>
      <c r="AD51" s="404"/>
      <c r="AE51" s="404"/>
      <c r="AF51" s="404"/>
      <c r="AG51" s="404"/>
      <c r="AH51" s="404"/>
      <c r="AI51" s="404"/>
      <c r="AJ51" s="404"/>
      <c r="AK51" s="404"/>
      <c r="AL51" s="404"/>
      <c r="AM51" s="404"/>
      <c r="AN51" s="476"/>
      <c r="AO51" s="404"/>
      <c r="AP51" s="404"/>
      <c r="AQ51" s="404"/>
      <c r="AR51" s="404"/>
      <c r="AS51" s="404"/>
      <c r="AT51" s="404"/>
      <c r="AU51" s="404"/>
      <c r="AV51" s="404"/>
      <c r="AW51" s="404"/>
      <c r="AX51" s="404"/>
      <c r="AY51" s="404"/>
      <c r="AZ51" s="404"/>
      <c r="BA51" s="404"/>
      <c r="BB51" s="476"/>
      <c r="BC51" s="404"/>
      <c r="BD51" s="404"/>
      <c r="BE51" s="404"/>
      <c r="BF51" s="404"/>
      <c r="BG51" s="404"/>
      <c r="BH51" s="404"/>
      <c r="BI51" s="404"/>
      <c r="BJ51" s="404"/>
      <c r="BK51" s="404"/>
      <c r="BL51" s="404"/>
      <c r="BM51" s="404"/>
    </row>
    <row r="52" spans="1:65" ht="14.25" thickBot="1" x14ac:dyDescent="0.3">
      <c r="A52" s="402"/>
      <c r="B52" s="403"/>
      <c r="C52" s="404"/>
      <c r="D52" s="404"/>
      <c r="E52" s="403"/>
      <c r="F52" s="404"/>
      <c r="G52" s="404"/>
      <c r="H52" s="404"/>
      <c r="I52" s="404"/>
      <c r="J52" s="404"/>
      <c r="K52" s="404"/>
      <c r="L52" s="404"/>
      <c r="M52" s="404"/>
      <c r="N52" s="404"/>
      <c r="O52" s="404"/>
      <c r="P52" s="404"/>
      <c r="Q52" s="404"/>
      <c r="R52" s="404"/>
      <c r="S52" s="404"/>
      <c r="T52" s="404"/>
      <c r="U52" s="404"/>
      <c r="V52" s="404"/>
      <c r="W52" s="405"/>
      <c r="X52" s="404"/>
      <c r="Y52" s="404"/>
      <c r="Z52" s="403"/>
      <c r="AA52" s="404"/>
      <c r="AB52" s="404"/>
      <c r="AC52" s="404"/>
      <c r="AD52" s="404"/>
      <c r="AE52" s="404"/>
      <c r="AF52" s="404"/>
      <c r="AG52" s="404"/>
      <c r="AH52" s="404"/>
      <c r="AI52" s="404"/>
      <c r="AJ52" s="404"/>
      <c r="AK52" s="404"/>
      <c r="AL52" s="404"/>
      <c r="AM52" s="404"/>
      <c r="AN52" s="403"/>
      <c r="AO52" s="404"/>
      <c r="AP52" s="404"/>
      <c r="AQ52" s="404"/>
      <c r="AR52" s="404"/>
      <c r="AS52" s="404"/>
      <c r="AT52" s="404"/>
      <c r="AU52" s="404"/>
      <c r="AV52" s="404"/>
      <c r="AW52" s="404"/>
      <c r="AX52" s="404"/>
      <c r="AY52" s="404"/>
      <c r="AZ52" s="404"/>
      <c r="BA52" s="404"/>
      <c r="BB52" s="403"/>
      <c r="BC52" s="404"/>
      <c r="BD52" s="404"/>
      <c r="BE52" s="404"/>
      <c r="BF52" s="404"/>
      <c r="BG52" s="404"/>
      <c r="BH52" s="404"/>
      <c r="BI52" s="404"/>
      <c r="BJ52" s="404"/>
      <c r="BK52" s="404"/>
      <c r="BL52" s="404"/>
      <c r="BM52" s="404"/>
    </row>
    <row r="57" spans="1:65" x14ac:dyDescent="0.25">
      <c r="C57" s="364" t="s">
        <v>264</v>
      </c>
      <c r="X57" s="364" t="s">
        <v>264</v>
      </c>
      <c r="AL57" s="364" t="s">
        <v>264</v>
      </c>
      <c r="AZ57" s="364" t="s">
        <v>264</v>
      </c>
    </row>
  </sheetData>
  <sheetProtection algorithmName="SHA-512" hashValue="jB0FxtUg+r6gF+HHDqke1wYKuC69ozhsL6bZtGVlgd3PmnIS48eyO0400kz0ugDx2t/egVkjN+x/EKsJRxRHtA==" saltValue="2pi5o7pS6Y+JDnHHLKrdxw==" spinCount="100000" sheet="1" objects="1" scenarios="1"/>
  <mergeCells count="4">
    <mergeCell ref="A1:I1"/>
    <mergeCell ref="A13:W13"/>
    <mergeCell ref="A20:W20"/>
    <mergeCell ref="A28:W2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FECBF-F175-4AC6-B7CB-C7641236720D}">
  <dimension ref="A1:J88"/>
  <sheetViews>
    <sheetView zoomScale="75" zoomScaleNormal="75" workbookViewId="0">
      <selection activeCell="A3" sqref="A3:D3"/>
    </sheetView>
  </sheetViews>
  <sheetFormatPr defaultRowHeight="12.75" x14ac:dyDescent="0.2"/>
  <cols>
    <col min="1" max="1" width="48.28515625" customWidth="1"/>
    <col min="2" max="3" width="19.7109375" customWidth="1"/>
    <col min="4" max="4" width="11.28515625" customWidth="1"/>
    <col min="5" max="5" width="12.42578125" customWidth="1"/>
    <col min="6" max="10" width="18.7109375" customWidth="1"/>
  </cols>
  <sheetData>
    <row r="1" spans="1:10" ht="24" customHeight="1" x14ac:dyDescent="0.35">
      <c r="A1" s="625" t="s">
        <v>265</v>
      </c>
      <c r="B1" s="626"/>
      <c r="C1" s="626"/>
      <c r="D1" s="626"/>
      <c r="E1" s="193"/>
      <c r="F1" s="193"/>
      <c r="G1" s="193"/>
      <c r="H1" s="193"/>
      <c r="I1" s="193"/>
      <c r="J1" s="193"/>
    </row>
    <row r="2" spans="1:10" ht="24" customHeight="1" x14ac:dyDescent="0.3">
      <c r="A2" s="627" t="s">
        <v>266</v>
      </c>
      <c r="B2" s="789"/>
      <c r="C2" s="789"/>
      <c r="D2" s="789"/>
      <c r="E2" s="193"/>
      <c r="F2" s="193"/>
      <c r="G2" s="193"/>
      <c r="H2" s="193"/>
      <c r="I2" s="193"/>
      <c r="J2" s="193"/>
    </row>
    <row r="3" spans="1:10" ht="24" customHeight="1" x14ac:dyDescent="0.3">
      <c r="A3" s="790">
        <f>Takings!P2</f>
        <v>46061</v>
      </c>
      <c r="B3" s="791"/>
      <c r="C3" s="791"/>
      <c r="D3" s="791"/>
      <c r="E3" s="193"/>
      <c r="F3" s="193"/>
      <c r="G3" s="193"/>
      <c r="H3" s="193"/>
      <c r="I3" s="193"/>
      <c r="J3" s="193"/>
    </row>
    <row r="4" spans="1:10" ht="24" customHeight="1" thickBot="1" x14ac:dyDescent="0.35">
      <c r="A4" s="519"/>
      <c r="B4" s="542"/>
      <c r="C4" s="542"/>
      <c r="D4" s="542"/>
      <c r="E4" s="193"/>
      <c r="F4" s="193"/>
      <c r="G4" s="193"/>
      <c r="H4" s="193"/>
      <c r="I4" s="193"/>
      <c r="J4" s="193"/>
    </row>
    <row r="5" spans="1:10" ht="24" customHeight="1" thickBot="1" x14ac:dyDescent="0.35">
      <c r="A5" s="561"/>
      <c r="B5" s="560" t="s">
        <v>267</v>
      </c>
      <c r="C5" s="559" t="s">
        <v>268</v>
      </c>
      <c r="D5" s="562" t="s">
        <v>269</v>
      </c>
      <c r="E5" s="563" t="s">
        <v>270</v>
      </c>
      <c r="F5" s="193"/>
      <c r="G5" s="193"/>
      <c r="H5" s="193"/>
      <c r="I5" s="193"/>
      <c r="J5" s="193"/>
    </row>
    <row r="6" spans="1:10" ht="24" customHeight="1" x14ac:dyDescent="0.3">
      <c r="A6" s="543" t="s">
        <v>271</v>
      </c>
      <c r="B6" s="567"/>
      <c r="C6" s="570"/>
      <c r="D6" s="564" t="e">
        <f>SUM(B6/B21*1.12)</f>
        <v>#DIV/0!</v>
      </c>
      <c r="E6" s="573"/>
      <c r="F6" s="193"/>
      <c r="G6" s="193"/>
      <c r="H6" s="193"/>
      <c r="I6" s="193"/>
      <c r="J6" s="193"/>
    </row>
    <row r="7" spans="1:10" ht="24" customHeight="1" x14ac:dyDescent="0.3">
      <c r="A7" s="544" t="s">
        <v>272</v>
      </c>
      <c r="B7" s="568"/>
      <c r="C7" s="571"/>
      <c r="D7" s="565"/>
      <c r="E7" s="574"/>
      <c r="F7" s="193"/>
      <c r="G7" s="193"/>
      <c r="H7" s="193"/>
      <c r="I7" s="193"/>
      <c r="J7" s="193"/>
    </row>
    <row r="8" spans="1:10" ht="24" customHeight="1" thickBot="1" x14ac:dyDescent="0.35">
      <c r="A8" s="545" t="s">
        <v>273</v>
      </c>
      <c r="B8" s="569"/>
      <c r="C8" s="572"/>
      <c r="D8" s="566"/>
      <c r="E8" s="575"/>
      <c r="F8" s="193"/>
      <c r="G8" s="193"/>
      <c r="H8" s="193"/>
      <c r="I8" s="193"/>
      <c r="J8" s="193"/>
    </row>
    <row r="9" spans="1:10" ht="24" customHeight="1" x14ac:dyDescent="0.3">
      <c r="A9" s="194"/>
      <c r="B9" s="518"/>
      <c r="C9" s="196"/>
      <c r="D9" s="196"/>
      <c r="E9" s="193"/>
      <c r="F9" s="193"/>
      <c r="G9" s="193"/>
      <c r="H9" s="193"/>
      <c r="I9" s="193"/>
      <c r="J9" s="193"/>
    </row>
    <row r="10" spans="1:10" ht="24" customHeight="1" thickBot="1" x14ac:dyDescent="0.35">
      <c r="A10" s="194"/>
      <c r="B10" s="518"/>
      <c r="C10" s="196"/>
      <c r="D10" s="196"/>
      <c r="E10" s="193"/>
      <c r="F10" s="193"/>
      <c r="G10" s="193"/>
      <c r="H10" s="193"/>
      <c r="I10" s="193"/>
      <c r="J10" s="193"/>
    </row>
    <row r="11" spans="1:10" ht="24" customHeight="1" thickBot="1" x14ac:dyDescent="0.35">
      <c r="A11" s="546" t="s">
        <v>274</v>
      </c>
      <c r="B11" s="547" t="s">
        <v>275</v>
      </c>
      <c r="C11" s="548" t="s">
        <v>268</v>
      </c>
      <c r="D11" s="193"/>
      <c r="E11" s="586" t="s">
        <v>276</v>
      </c>
      <c r="F11" s="587"/>
      <c r="G11" s="588" t="s">
        <v>277</v>
      </c>
      <c r="H11" s="193"/>
      <c r="I11" s="193"/>
    </row>
    <row r="12" spans="1:10" ht="24" customHeight="1" x14ac:dyDescent="0.3">
      <c r="A12" s="549" t="s">
        <v>66</v>
      </c>
      <c r="B12" s="550">
        <f>SUM(Takings!B31)</f>
        <v>0</v>
      </c>
      <c r="C12" s="576"/>
      <c r="D12" s="193"/>
      <c r="E12" s="589" t="s">
        <v>278</v>
      </c>
      <c r="F12" s="590">
        <v>0</v>
      </c>
      <c r="G12" s="591" t="e">
        <f>SUM(F12/B15)</f>
        <v>#DIV/0!</v>
      </c>
      <c r="H12" s="193"/>
      <c r="I12" s="193"/>
    </row>
    <row r="13" spans="1:10" ht="24" customHeight="1" x14ac:dyDescent="0.3">
      <c r="A13" s="551" t="s">
        <v>69</v>
      </c>
      <c r="B13" s="552">
        <f>SUM(Takings!H31)</f>
        <v>0</v>
      </c>
      <c r="C13" s="577"/>
      <c r="D13" s="193"/>
      <c r="E13" s="592" t="s">
        <v>279</v>
      </c>
      <c r="F13" s="593">
        <v>0</v>
      </c>
      <c r="G13" s="594" t="e">
        <f>SUM(F13/B14)</f>
        <v>#DIV/0!</v>
      </c>
      <c r="H13" s="193"/>
      <c r="I13" s="193"/>
    </row>
    <row r="14" spans="1:10" ht="24" customHeight="1" x14ac:dyDescent="0.3">
      <c r="A14" s="551" t="s">
        <v>280</v>
      </c>
      <c r="B14" s="553">
        <f>SUM(Takings!C12:F12)</f>
        <v>0</v>
      </c>
      <c r="C14" s="577"/>
      <c r="D14" s="193"/>
      <c r="E14" s="592" t="s">
        <v>281</v>
      </c>
      <c r="F14" s="593">
        <v>0</v>
      </c>
      <c r="G14" s="594"/>
      <c r="H14" s="193"/>
      <c r="I14" s="193"/>
    </row>
    <row r="15" spans="1:10" ht="24" customHeight="1" x14ac:dyDescent="0.3">
      <c r="A15" s="551" t="s">
        <v>79</v>
      </c>
      <c r="B15" s="552">
        <f>SUM(Takings!G12)</f>
        <v>0</v>
      </c>
      <c r="C15" s="577"/>
      <c r="D15" s="193"/>
      <c r="E15" s="592" t="s">
        <v>282</v>
      </c>
      <c r="F15" s="595">
        <f>SUM(F12:F14)</f>
        <v>0</v>
      </c>
      <c r="G15" s="594"/>
      <c r="H15" s="193"/>
      <c r="I15" s="193"/>
    </row>
    <row r="16" spans="1:10" ht="24" customHeight="1" x14ac:dyDescent="0.3">
      <c r="A16" s="551" t="s">
        <v>283</v>
      </c>
      <c r="B16" s="552">
        <v>0</v>
      </c>
      <c r="C16" s="577"/>
      <c r="D16" s="193"/>
      <c r="E16" s="592"/>
      <c r="F16" s="596"/>
      <c r="G16" s="597"/>
      <c r="H16" s="193"/>
      <c r="I16" s="193"/>
    </row>
    <row r="17" spans="1:10" ht="24" customHeight="1" x14ac:dyDescent="0.3">
      <c r="A17" s="551" t="s">
        <v>284</v>
      </c>
      <c r="B17" s="552">
        <v>0</v>
      </c>
      <c r="C17" s="577"/>
      <c r="D17" s="193"/>
      <c r="E17" s="592" t="s">
        <v>285</v>
      </c>
      <c r="F17" s="596">
        <v>0</v>
      </c>
      <c r="G17" s="597"/>
      <c r="H17" s="193"/>
      <c r="I17" s="193"/>
    </row>
    <row r="18" spans="1:10" ht="24" customHeight="1" x14ac:dyDescent="0.3">
      <c r="A18" s="551" t="s">
        <v>286</v>
      </c>
      <c r="B18" s="552">
        <f>Takings!L44</f>
        <v>0</v>
      </c>
      <c r="C18" s="577"/>
      <c r="D18" s="193"/>
      <c r="E18" s="592" t="s">
        <v>287</v>
      </c>
      <c r="F18" s="596">
        <v>0</v>
      </c>
      <c r="G18" s="597"/>
      <c r="H18" s="193"/>
      <c r="I18" s="193"/>
    </row>
    <row r="19" spans="1:10" ht="24" customHeight="1" thickBot="1" x14ac:dyDescent="0.35">
      <c r="A19" s="551" t="s">
        <v>288</v>
      </c>
      <c r="B19" s="552">
        <f>Takings!M45</f>
        <v>0</v>
      </c>
      <c r="C19" s="577"/>
      <c r="D19" s="193"/>
      <c r="E19" s="598" t="s">
        <v>289</v>
      </c>
      <c r="F19" s="599">
        <v>0</v>
      </c>
      <c r="G19" s="600"/>
      <c r="H19" s="193"/>
      <c r="I19" s="193"/>
    </row>
    <row r="20" spans="1:10" ht="24" customHeight="1" thickBot="1" x14ac:dyDescent="0.35">
      <c r="A20" s="551" t="s">
        <v>290</v>
      </c>
      <c r="B20" s="552">
        <f>SUM(Takings!J12)-B19</f>
        <v>0</v>
      </c>
      <c r="C20" s="577"/>
      <c r="D20" s="193"/>
      <c r="E20" s="193"/>
      <c r="F20" s="193"/>
      <c r="G20" s="193"/>
      <c r="H20" s="193"/>
      <c r="I20" s="193"/>
    </row>
    <row r="21" spans="1:10" ht="24" customHeight="1" thickBot="1" x14ac:dyDescent="0.35">
      <c r="A21" s="554" t="s">
        <v>291</v>
      </c>
      <c r="B21" s="555">
        <f>B13+B14+B15+B16+B19+B20</f>
        <v>0</v>
      </c>
      <c r="C21" s="556">
        <f>SUM(C13:C20)</f>
        <v>0</v>
      </c>
      <c r="D21" s="193"/>
      <c r="E21" s="198"/>
      <c r="F21" s="193"/>
      <c r="G21" s="193"/>
      <c r="H21" s="193"/>
      <c r="I21" s="193"/>
    </row>
    <row r="22" spans="1:10" ht="24" customHeight="1" thickBot="1" x14ac:dyDescent="0.35">
      <c r="A22" s="193"/>
      <c r="B22" s="193"/>
      <c r="C22" s="193"/>
      <c r="D22" s="193"/>
      <c r="E22" s="193"/>
      <c r="F22" s="218"/>
      <c r="G22" s="792"/>
      <c r="H22" s="792"/>
      <c r="I22" s="792"/>
      <c r="J22" s="198"/>
    </row>
    <row r="23" spans="1:10" ht="24" customHeight="1" x14ac:dyDescent="0.3">
      <c r="A23" s="793" t="s">
        <v>292</v>
      </c>
      <c r="B23" s="794"/>
      <c r="C23" s="794"/>
      <c r="D23" s="795"/>
      <c r="E23" s="193"/>
      <c r="F23" s="557"/>
      <c r="G23" s="799"/>
      <c r="H23" s="799"/>
      <c r="I23" s="799"/>
      <c r="J23" s="558"/>
    </row>
    <row r="24" spans="1:10" ht="24" customHeight="1" thickBot="1" x14ac:dyDescent="0.35">
      <c r="A24" s="796"/>
      <c r="B24" s="797"/>
      <c r="C24" s="797"/>
      <c r="D24" s="798"/>
      <c r="E24" s="193"/>
      <c r="F24" s="557"/>
      <c r="G24" s="799"/>
      <c r="H24" s="799"/>
      <c r="I24" s="799"/>
      <c r="J24" s="558"/>
    </row>
    <row r="25" spans="1:10" ht="20.25" customHeight="1" thickBot="1" x14ac:dyDescent="0.35">
      <c r="A25" s="804" t="s">
        <v>293</v>
      </c>
      <c r="B25" s="805"/>
      <c r="C25" s="805"/>
      <c r="D25" s="806"/>
      <c r="E25" s="193"/>
      <c r="F25" s="557"/>
      <c r="G25" s="799"/>
      <c r="H25" s="799"/>
      <c r="I25" s="799"/>
      <c r="J25" s="558"/>
    </row>
    <row r="26" spans="1:10" ht="24" hidden="1" customHeight="1" x14ac:dyDescent="0.3">
      <c r="A26" s="807"/>
      <c r="B26" s="808"/>
      <c r="C26" s="808"/>
      <c r="D26" s="809"/>
      <c r="E26" s="193"/>
      <c r="F26" s="557"/>
      <c r="G26" s="799"/>
      <c r="H26" s="799"/>
      <c r="I26" s="799"/>
      <c r="J26" s="558"/>
    </row>
    <row r="27" spans="1:10" ht="24" hidden="1" customHeight="1" x14ac:dyDescent="0.3">
      <c r="A27" s="807"/>
      <c r="B27" s="808"/>
      <c r="C27" s="808"/>
      <c r="D27" s="809"/>
      <c r="E27" s="193"/>
      <c r="F27" s="557"/>
      <c r="G27" s="799"/>
      <c r="H27" s="799"/>
      <c r="I27" s="799"/>
      <c r="J27" s="558"/>
    </row>
    <row r="28" spans="1:10" ht="24" hidden="1" customHeight="1" x14ac:dyDescent="0.3">
      <c r="A28" s="807"/>
      <c r="B28" s="808"/>
      <c r="C28" s="808"/>
      <c r="D28" s="809"/>
      <c r="E28" s="193"/>
      <c r="F28" s="557"/>
      <c r="G28" s="799"/>
      <c r="H28" s="799"/>
      <c r="I28" s="799"/>
      <c r="J28" s="558"/>
    </row>
    <row r="29" spans="1:10" ht="24" hidden="1" customHeight="1" x14ac:dyDescent="0.3">
      <c r="A29" s="810"/>
      <c r="B29" s="811"/>
      <c r="C29" s="811"/>
      <c r="D29" s="812"/>
      <c r="E29" s="193"/>
      <c r="F29" s="557"/>
      <c r="G29" s="799"/>
      <c r="H29" s="799"/>
      <c r="I29" s="799"/>
      <c r="J29" s="558"/>
    </row>
    <row r="30" spans="1:10" ht="24" customHeight="1" x14ac:dyDescent="0.3">
      <c r="A30" s="800"/>
      <c r="B30" s="730"/>
      <c r="C30" s="730"/>
      <c r="D30" s="731"/>
      <c r="E30" s="193"/>
      <c r="F30" s="557"/>
      <c r="G30" s="799"/>
      <c r="H30" s="799"/>
      <c r="I30" s="799"/>
      <c r="J30" s="558"/>
    </row>
    <row r="31" spans="1:10" ht="24" customHeight="1" x14ac:dyDescent="0.3">
      <c r="A31" s="801"/>
      <c r="B31" s="802"/>
      <c r="C31" s="802"/>
      <c r="D31" s="803"/>
      <c r="E31" s="193"/>
      <c r="F31" s="218"/>
      <c r="G31" s="218"/>
      <c r="H31" s="198"/>
      <c r="I31" s="218"/>
      <c r="J31" s="218"/>
    </row>
    <row r="32" spans="1:10" ht="24" customHeight="1" thickBot="1" x14ac:dyDescent="0.35">
      <c r="A32" s="732"/>
      <c r="B32" s="733"/>
      <c r="C32" s="733"/>
      <c r="D32" s="734"/>
      <c r="E32" s="193"/>
      <c r="F32" s="92"/>
      <c r="G32" s="92"/>
      <c r="H32" s="92"/>
      <c r="I32" s="92"/>
      <c r="J32" s="92"/>
    </row>
    <row r="33" spans="1:4" x14ac:dyDescent="0.2">
      <c r="A33" s="804" t="s">
        <v>294</v>
      </c>
      <c r="B33" s="805"/>
      <c r="C33" s="805"/>
      <c r="D33" s="806"/>
    </row>
    <row r="34" spans="1:4" ht="12" customHeight="1" thickBot="1" x14ac:dyDescent="0.25">
      <c r="A34" s="807"/>
      <c r="B34" s="808"/>
      <c r="C34" s="808"/>
      <c r="D34" s="809"/>
    </row>
    <row r="35" spans="1:4" ht="13.5" hidden="1" thickBot="1" x14ac:dyDescent="0.25">
      <c r="A35" s="807"/>
      <c r="B35" s="808"/>
      <c r="C35" s="808"/>
      <c r="D35" s="809"/>
    </row>
    <row r="36" spans="1:4" ht="13.5" hidden="1" thickBot="1" x14ac:dyDescent="0.25">
      <c r="A36" s="807"/>
      <c r="B36" s="808"/>
      <c r="C36" s="808"/>
      <c r="D36" s="809"/>
    </row>
    <row r="37" spans="1:4" ht="13.5" hidden="1" thickBot="1" x14ac:dyDescent="0.25">
      <c r="A37" s="810"/>
      <c r="B37" s="811"/>
      <c r="C37" s="811"/>
      <c r="D37" s="812"/>
    </row>
    <row r="38" spans="1:4" x14ac:dyDescent="0.2">
      <c r="A38" s="800"/>
      <c r="B38" s="730"/>
      <c r="C38" s="730"/>
      <c r="D38" s="731"/>
    </row>
    <row r="39" spans="1:4" x14ac:dyDescent="0.2">
      <c r="A39" s="801"/>
      <c r="B39" s="802"/>
      <c r="C39" s="802"/>
      <c r="D39" s="803"/>
    </row>
    <row r="40" spans="1:4" ht="13.5" thickBot="1" x14ac:dyDescent="0.25">
      <c r="A40" s="732"/>
      <c r="B40" s="733"/>
      <c r="C40" s="733"/>
      <c r="D40" s="734"/>
    </row>
    <row r="41" spans="1:4" x14ac:dyDescent="0.2">
      <c r="A41" s="804" t="s">
        <v>65</v>
      </c>
      <c r="B41" s="805"/>
      <c r="C41" s="805"/>
      <c r="D41" s="806"/>
    </row>
    <row r="42" spans="1:4" ht="7.5" customHeight="1" thickBot="1" x14ac:dyDescent="0.25">
      <c r="A42" s="807"/>
      <c r="B42" s="808"/>
      <c r="C42" s="808"/>
      <c r="D42" s="809"/>
    </row>
    <row r="43" spans="1:4" ht="13.5" hidden="1" thickBot="1" x14ac:dyDescent="0.25">
      <c r="A43" s="807"/>
      <c r="B43" s="808"/>
      <c r="C43" s="808"/>
      <c r="D43" s="809"/>
    </row>
    <row r="44" spans="1:4" ht="13.5" hidden="1" thickBot="1" x14ac:dyDescent="0.25">
      <c r="A44" s="807"/>
      <c r="B44" s="808"/>
      <c r="C44" s="808"/>
      <c r="D44" s="809"/>
    </row>
    <row r="45" spans="1:4" ht="13.5" hidden="1" thickBot="1" x14ac:dyDescent="0.25">
      <c r="A45" s="810"/>
      <c r="B45" s="811"/>
      <c r="C45" s="811"/>
      <c r="D45" s="812"/>
    </row>
    <row r="46" spans="1:4" x14ac:dyDescent="0.2">
      <c r="A46" s="800"/>
      <c r="B46" s="730"/>
      <c r="C46" s="730"/>
      <c r="D46" s="731"/>
    </row>
    <row r="47" spans="1:4" x14ac:dyDescent="0.2">
      <c r="A47" s="801"/>
      <c r="B47" s="802"/>
      <c r="C47" s="802"/>
      <c r="D47" s="803"/>
    </row>
    <row r="48" spans="1:4" ht="13.5" thickBot="1" x14ac:dyDescent="0.25">
      <c r="A48" s="732"/>
      <c r="B48" s="733"/>
      <c r="C48" s="733"/>
      <c r="D48" s="734"/>
    </row>
    <row r="49" spans="1:4" x14ac:dyDescent="0.2">
      <c r="A49" s="804" t="s">
        <v>79</v>
      </c>
      <c r="B49" s="805"/>
      <c r="C49" s="805"/>
      <c r="D49" s="806"/>
    </row>
    <row r="50" spans="1:4" ht="7.5" customHeight="1" thickBot="1" x14ac:dyDescent="0.25">
      <c r="A50" s="807"/>
      <c r="B50" s="808"/>
      <c r="C50" s="808"/>
      <c r="D50" s="809"/>
    </row>
    <row r="51" spans="1:4" ht="13.5" hidden="1" thickBot="1" x14ac:dyDescent="0.25">
      <c r="A51" s="807"/>
      <c r="B51" s="808"/>
      <c r="C51" s="808"/>
      <c r="D51" s="809"/>
    </row>
    <row r="52" spans="1:4" ht="13.5" hidden="1" thickBot="1" x14ac:dyDescent="0.25">
      <c r="A52" s="807"/>
      <c r="B52" s="808"/>
      <c r="C52" s="808"/>
      <c r="D52" s="809"/>
    </row>
    <row r="53" spans="1:4" ht="13.5" hidden="1" thickBot="1" x14ac:dyDescent="0.25">
      <c r="A53" s="810"/>
      <c r="B53" s="811"/>
      <c r="C53" s="811"/>
      <c r="D53" s="812"/>
    </row>
    <row r="54" spans="1:4" x14ac:dyDescent="0.2">
      <c r="A54" s="800"/>
      <c r="B54" s="730"/>
      <c r="C54" s="730"/>
      <c r="D54" s="731"/>
    </row>
    <row r="55" spans="1:4" x14ac:dyDescent="0.2">
      <c r="A55" s="801"/>
      <c r="B55" s="802"/>
      <c r="C55" s="802"/>
      <c r="D55" s="803"/>
    </row>
    <row r="56" spans="1:4" ht="13.5" thickBot="1" x14ac:dyDescent="0.25">
      <c r="A56" s="732"/>
      <c r="B56" s="733"/>
      <c r="C56" s="733"/>
      <c r="D56" s="734"/>
    </row>
    <row r="57" spans="1:4" x14ac:dyDescent="0.2">
      <c r="A57" s="804" t="s">
        <v>295</v>
      </c>
      <c r="B57" s="805"/>
      <c r="C57" s="805"/>
      <c r="D57" s="806"/>
    </row>
    <row r="58" spans="1:4" ht="9" customHeight="1" thickBot="1" x14ac:dyDescent="0.25">
      <c r="A58" s="807"/>
      <c r="B58" s="808"/>
      <c r="C58" s="808"/>
      <c r="D58" s="809"/>
    </row>
    <row r="59" spans="1:4" ht="13.5" hidden="1" thickBot="1" x14ac:dyDescent="0.25">
      <c r="A59" s="807"/>
      <c r="B59" s="808"/>
      <c r="C59" s="808"/>
      <c r="D59" s="809"/>
    </row>
    <row r="60" spans="1:4" ht="13.5" hidden="1" thickBot="1" x14ac:dyDescent="0.25">
      <c r="A60" s="807"/>
      <c r="B60" s="808"/>
      <c r="C60" s="808"/>
      <c r="D60" s="809"/>
    </row>
    <row r="61" spans="1:4" ht="13.5" hidden="1" thickBot="1" x14ac:dyDescent="0.25">
      <c r="A61" s="810"/>
      <c r="B61" s="811"/>
      <c r="C61" s="811"/>
      <c r="D61" s="812"/>
    </row>
    <row r="62" spans="1:4" x14ac:dyDescent="0.2">
      <c r="A62" s="800"/>
      <c r="B62" s="730"/>
      <c r="C62" s="730"/>
      <c r="D62" s="731"/>
    </row>
    <row r="63" spans="1:4" x14ac:dyDescent="0.2">
      <c r="A63" s="801"/>
      <c r="B63" s="802"/>
      <c r="C63" s="802"/>
      <c r="D63" s="803"/>
    </row>
    <row r="64" spans="1:4" ht="13.5" thickBot="1" x14ac:dyDescent="0.25">
      <c r="A64" s="732"/>
      <c r="B64" s="733"/>
      <c r="C64" s="733"/>
      <c r="D64" s="734"/>
    </row>
    <row r="65" spans="1:4" x14ac:dyDescent="0.2">
      <c r="A65" s="804" t="s">
        <v>284</v>
      </c>
      <c r="B65" s="805"/>
      <c r="C65" s="805"/>
      <c r="D65" s="806"/>
    </row>
    <row r="66" spans="1:4" ht="6.75" customHeight="1" thickBot="1" x14ac:dyDescent="0.25">
      <c r="A66" s="807"/>
      <c r="B66" s="808"/>
      <c r="C66" s="808"/>
      <c r="D66" s="809"/>
    </row>
    <row r="67" spans="1:4" ht="13.5" hidden="1" thickBot="1" x14ac:dyDescent="0.25">
      <c r="A67" s="807"/>
      <c r="B67" s="808"/>
      <c r="C67" s="808"/>
      <c r="D67" s="809"/>
    </row>
    <row r="68" spans="1:4" ht="13.5" hidden="1" thickBot="1" x14ac:dyDescent="0.25">
      <c r="A68" s="807"/>
      <c r="B68" s="808"/>
      <c r="C68" s="808"/>
      <c r="D68" s="809"/>
    </row>
    <row r="69" spans="1:4" ht="13.5" hidden="1" thickBot="1" x14ac:dyDescent="0.25">
      <c r="A69" s="810"/>
      <c r="B69" s="811"/>
      <c r="C69" s="811"/>
      <c r="D69" s="812"/>
    </row>
    <row r="70" spans="1:4" x14ac:dyDescent="0.2">
      <c r="A70" s="800"/>
      <c r="B70" s="730"/>
      <c r="C70" s="730"/>
      <c r="D70" s="731"/>
    </row>
    <row r="71" spans="1:4" x14ac:dyDescent="0.2">
      <c r="A71" s="801"/>
      <c r="B71" s="802"/>
      <c r="C71" s="802"/>
      <c r="D71" s="803"/>
    </row>
    <row r="72" spans="1:4" ht="13.5" thickBot="1" x14ac:dyDescent="0.25">
      <c r="A72" s="732"/>
      <c r="B72" s="733"/>
      <c r="C72" s="733"/>
      <c r="D72" s="734"/>
    </row>
    <row r="73" spans="1:4" x14ac:dyDescent="0.2">
      <c r="A73" s="804" t="s">
        <v>296</v>
      </c>
      <c r="B73" s="805"/>
      <c r="C73" s="805"/>
      <c r="D73" s="806"/>
    </row>
    <row r="74" spans="1:4" ht="7.5" customHeight="1" thickBot="1" x14ac:dyDescent="0.25">
      <c r="A74" s="807"/>
      <c r="B74" s="808"/>
      <c r="C74" s="808"/>
      <c r="D74" s="809"/>
    </row>
    <row r="75" spans="1:4" ht="13.5" hidden="1" thickBot="1" x14ac:dyDescent="0.25">
      <c r="A75" s="807"/>
      <c r="B75" s="808"/>
      <c r="C75" s="808"/>
      <c r="D75" s="809"/>
    </row>
    <row r="76" spans="1:4" ht="13.5" hidden="1" thickBot="1" x14ac:dyDescent="0.25">
      <c r="A76" s="807"/>
      <c r="B76" s="808"/>
      <c r="C76" s="808"/>
      <c r="D76" s="809"/>
    </row>
    <row r="77" spans="1:4" ht="13.5" hidden="1" thickBot="1" x14ac:dyDescent="0.25">
      <c r="A77" s="810"/>
      <c r="B77" s="811"/>
      <c r="C77" s="811"/>
      <c r="D77" s="812"/>
    </row>
    <row r="78" spans="1:4" x14ac:dyDescent="0.2">
      <c r="A78" s="800"/>
      <c r="B78" s="730"/>
      <c r="C78" s="730"/>
      <c r="D78" s="731"/>
    </row>
    <row r="79" spans="1:4" x14ac:dyDescent="0.2">
      <c r="A79" s="801"/>
      <c r="B79" s="802"/>
      <c r="C79" s="802"/>
      <c r="D79" s="803"/>
    </row>
    <row r="80" spans="1:4" ht="13.5" thickBot="1" x14ac:dyDescent="0.25">
      <c r="A80" s="732"/>
      <c r="B80" s="733"/>
      <c r="C80" s="733"/>
      <c r="D80" s="734"/>
    </row>
    <row r="81" spans="1:4" x14ac:dyDescent="0.2">
      <c r="A81" s="804" t="s">
        <v>297</v>
      </c>
      <c r="B81" s="805"/>
      <c r="C81" s="805"/>
      <c r="D81" s="806"/>
    </row>
    <row r="82" spans="1:4" ht="6.75" customHeight="1" thickBot="1" x14ac:dyDescent="0.25">
      <c r="A82" s="807"/>
      <c r="B82" s="808"/>
      <c r="C82" s="808"/>
      <c r="D82" s="809"/>
    </row>
    <row r="83" spans="1:4" ht="13.5" hidden="1" thickBot="1" x14ac:dyDescent="0.25">
      <c r="A83" s="807"/>
      <c r="B83" s="808"/>
      <c r="C83" s="808"/>
      <c r="D83" s="809"/>
    </row>
    <row r="84" spans="1:4" ht="13.5" hidden="1" thickBot="1" x14ac:dyDescent="0.25">
      <c r="A84" s="807"/>
      <c r="B84" s="808"/>
      <c r="C84" s="808"/>
      <c r="D84" s="809"/>
    </row>
    <row r="85" spans="1:4" ht="13.5" hidden="1" thickBot="1" x14ac:dyDescent="0.25">
      <c r="A85" s="810"/>
      <c r="B85" s="811"/>
      <c r="C85" s="811"/>
      <c r="D85" s="812"/>
    </row>
    <row r="86" spans="1:4" x14ac:dyDescent="0.2">
      <c r="A86" s="800"/>
      <c r="B86" s="730"/>
      <c r="C86" s="730"/>
      <c r="D86" s="731"/>
    </row>
    <row r="87" spans="1:4" x14ac:dyDescent="0.2">
      <c r="A87" s="801"/>
      <c r="B87" s="802"/>
      <c r="C87" s="802"/>
      <c r="D87" s="803"/>
    </row>
    <row r="88" spans="1:4" ht="13.5" thickBot="1" x14ac:dyDescent="0.25">
      <c r="A88" s="732"/>
      <c r="B88" s="733"/>
      <c r="C88" s="733"/>
      <c r="D88" s="734"/>
    </row>
  </sheetData>
  <sheetProtection algorithmName="SHA-512" hashValue="UDthsMV3pVkd+A7WFnutwA5t4PdoykhY27y0RgNuTQVFoQLgECuKm0Uyrl8ER6dJU5zj+azv91uAQuBF6BXvVw==" saltValue="bW/AByWxp6GuQyLZpcHsNg==" spinCount="100000" sheet="1" objects="1" scenarios="1"/>
  <mergeCells count="29">
    <mergeCell ref="A73:D77"/>
    <mergeCell ref="A78:D80"/>
    <mergeCell ref="A81:D85"/>
    <mergeCell ref="A86:D88"/>
    <mergeCell ref="A49:D53"/>
    <mergeCell ref="A54:D56"/>
    <mergeCell ref="A57:D61"/>
    <mergeCell ref="A62:D64"/>
    <mergeCell ref="A65:D69"/>
    <mergeCell ref="A70:D72"/>
    <mergeCell ref="A46:D48"/>
    <mergeCell ref="A25:D29"/>
    <mergeCell ref="G25:I25"/>
    <mergeCell ref="G26:I26"/>
    <mergeCell ref="G27:I27"/>
    <mergeCell ref="G28:I28"/>
    <mergeCell ref="G29:I29"/>
    <mergeCell ref="A30:D32"/>
    <mergeCell ref="G30:I30"/>
    <mergeCell ref="A33:D37"/>
    <mergeCell ref="A38:D40"/>
    <mergeCell ref="A41:D45"/>
    <mergeCell ref="A1:D1"/>
    <mergeCell ref="A2:D2"/>
    <mergeCell ref="A3:D3"/>
    <mergeCell ref="G22:I22"/>
    <mergeCell ref="A23:D24"/>
    <mergeCell ref="G23:I23"/>
    <mergeCell ref="G24:I2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pageSetUpPr fitToPage="1"/>
  </sheetPr>
  <dimension ref="A1:G40"/>
  <sheetViews>
    <sheetView zoomScale="85" zoomScaleNormal="85" workbookViewId="0">
      <selection activeCell="J32" sqref="J32"/>
    </sheetView>
  </sheetViews>
  <sheetFormatPr defaultColWidth="19.140625" defaultRowHeight="16.5" x14ac:dyDescent="0.3"/>
  <cols>
    <col min="1" max="1" width="14" style="271" customWidth="1"/>
    <col min="2" max="2" width="29.140625" style="272" customWidth="1"/>
    <col min="3" max="3" width="38.140625" style="272" customWidth="1"/>
    <col min="4" max="4" width="17" style="272" customWidth="1"/>
    <col min="5" max="5" width="19.140625" style="272"/>
    <col min="6" max="6" width="19.140625" style="254"/>
    <col min="7" max="16384" width="19.140625" style="271"/>
  </cols>
  <sheetData>
    <row r="1" spans="1:7" s="292" customFormat="1" ht="26.25" x14ac:dyDescent="0.35">
      <c r="A1" s="290" t="s">
        <v>298</v>
      </c>
      <c r="C1" s="294" t="str">
        <f>Takings!F1</f>
        <v>Republic Hotel</v>
      </c>
      <c r="E1" s="291" t="s">
        <v>299</v>
      </c>
      <c r="F1" s="813">
        <f>Takings!P2</f>
        <v>46061</v>
      </c>
      <c r="G1" s="814"/>
    </row>
    <row r="2" spans="1:7" ht="17.25" thickBot="1" x14ac:dyDescent="0.35">
      <c r="B2" s="271"/>
      <c r="C2" s="271"/>
      <c r="D2" s="271"/>
      <c r="E2" s="271"/>
    </row>
    <row r="3" spans="1:7" s="282" customFormat="1" ht="30.75" customHeight="1" thickBot="1" x14ac:dyDescent="0.25">
      <c r="A3" s="283" t="s">
        <v>180</v>
      </c>
      <c r="B3" s="284" t="s">
        <v>300</v>
      </c>
      <c r="C3" s="285" t="s">
        <v>301</v>
      </c>
      <c r="D3" s="286" t="s">
        <v>302</v>
      </c>
      <c r="E3" s="287" t="s">
        <v>17</v>
      </c>
      <c r="F3" s="288" t="s">
        <v>39</v>
      </c>
      <c r="G3" s="289" t="s">
        <v>44</v>
      </c>
    </row>
    <row r="4" spans="1:7" x14ac:dyDescent="0.3">
      <c r="A4" s="273"/>
      <c r="B4" s="274"/>
      <c r="C4" s="274"/>
      <c r="D4" s="275"/>
      <c r="E4" s="267"/>
      <c r="F4" s="152">
        <f>E4-G4</f>
        <v>0</v>
      </c>
      <c r="G4" s="269">
        <v>0</v>
      </c>
    </row>
    <row r="5" spans="1:7" x14ac:dyDescent="0.3">
      <c r="A5" s="276"/>
      <c r="B5" s="277"/>
      <c r="C5" s="277"/>
      <c r="D5" s="278"/>
      <c r="E5" s="180"/>
      <c r="F5" s="123">
        <f>E5-G5</f>
        <v>0</v>
      </c>
      <c r="G5" s="181">
        <v>0</v>
      </c>
    </row>
    <row r="6" spans="1:7" x14ac:dyDescent="0.3">
      <c r="A6" s="276"/>
      <c r="B6" s="277"/>
      <c r="C6" s="277"/>
      <c r="D6" s="278"/>
      <c r="E6" s="180"/>
      <c r="F6" s="123">
        <f>E6-G6</f>
        <v>0</v>
      </c>
      <c r="G6" s="181">
        <f>E6/11</f>
        <v>0</v>
      </c>
    </row>
    <row r="7" spans="1:7" x14ac:dyDescent="0.3">
      <c r="A7" s="276"/>
      <c r="B7" s="277"/>
      <c r="C7" s="277"/>
      <c r="D7" s="278"/>
      <c r="E7" s="180"/>
      <c r="F7" s="123">
        <f t="shared" ref="F7:F27" si="0">E7-G7</f>
        <v>0</v>
      </c>
      <c r="G7" s="181">
        <v>0</v>
      </c>
    </row>
    <row r="8" spans="1:7" x14ac:dyDescent="0.3">
      <c r="A8" s="276"/>
      <c r="B8" s="277"/>
      <c r="C8" s="352"/>
      <c r="D8" s="278"/>
      <c r="E8" s="180"/>
      <c r="F8" s="123">
        <f t="shared" si="0"/>
        <v>0</v>
      </c>
      <c r="G8" s="181">
        <v>0</v>
      </c>
    </row>
    <row r="9" spans="1:7" x14ac:dyDescent="0.3">
      <c r="A9" s="276"/>
      <c r="B9" s="277"/>
      <c r="C9" s="277"/>
      <c r="D9" s="278"/>
      <c r="E9" s="180"/>
      <c r="F9" s="123">
        <f t="shared" si="0"/>
        <v>0</v>
      </c>
      <c r="G9" s="181">
        <v>0</v>
      </c>
    </row>
    <row r="10" spans="1:7" x14ac:dyDescent="0.3">
      <c r="A10" s="276"/>
      <c r="B10" s="277"/>
      <c r="C10" s="277"/>
      <c r="D10" s="278"/>
      <c r="E10" s="180"/>
      <c r="F10" s="123">
        <f t="shared" si="0"/>
        <v>0</v>
      </c>
      <c r="G10" s="181">
        <v>0</v>
      </c>
    </row>
    <row r="11" spans="1:7" x14ac:dyDescent="0.3">
      <c r="A11" s="276"/>
      <c r="B11" s="277"/>
      <c r="C11" s="277"/>
      <c r="D11" s="278"/>
      <c r="E11" s="180"/>
      <c r="F11" s="123">
        <f t="shared" si="0"/>
        <v>0</v>
      </c>
      <c r="G11" s="181">
        <v>0</v>
      </c>
    </row>
    <row r="12" spans="1:7" x14ac:dyDescent="0.3">
      <c r="A12" s="276"/>
      <c r="B12" s="277"/>
      <c r="C12" s="277"/>
      <c r="D12" s="278"/>
      <c r="E12" s="180"/>
      <c r="F12" s="123">
        <f t="shared" si="0"/>
        <v>0</v>
      </c>
      <c r="G12" s="181">
        <f t="shared" ref="G12:G19" si="1">E12/11</f>
        <v>0</v>
      </c>
    </row>
    <row r="13" spans="1:7" x14ac:dyDescent="0.3">
      <c r="A13" s="276"/>
      <c r="B13" s="277"/>
      <c r="C13" s="277"/>
      <c r="D13" s="278"/>
      <c r="E13" s="180"/>
      <c r="F13" s="123">
        <f t="shared" si="0"/>
        <v>0</v>
      </c>
      <c r="G13" s="181">
        <v>0</v>
      </c>
    </row>
    <row r="14" spans="1:7" x14ac:dyDescent="0.3">
      <c r="A14" s="276"/>
      <c r="B14" s="277"/>
      <c r="C14" s="277"/>
      <c r="D14" s="278"/>
      <c r="E14" s="180"/>
      <c r="F14" s="123">
        <f t="shared" si="0"/>
        <v>0</v>
      </c>
      <c r="G14" s="181">
        <v>0</v>
      </c>
    </row>
    <row r="15" spans="1:7" x14ac:dyDescent="0.3">
      <c r="A15" s="276"/>
      <c r="B15" s="277"/>
      <c r="C15" s="277"/>
      <c r="D15" s="278"/>
      <c r="E15" s="180"/>
      <c r="F15" s="123">
        <f t="shared" si="0"/>
        <v>0</v>
      </c>
      <c r="G15" s="181">
        <f t="shared" si="1"/>
        <v>0</v>
      </c>
    </row>
    <row r="16" spans="1:7" x14ac:dyDescent="0.3">
      <c r="A16" s="276"/>
      <c r="B16" s="277"/>
      <c r="C16" s="277"/>
      <c r="D16" s="278"/>
      <c r="E16" s="180"/>
      <c r="F16" s="123">
        <f t="shared" si="0"/>
        <v>0</v>
      </c>
      <c r="G16" s="181">
        <f t="shared" si="1"/>
        <v>0</v>
      </c>
    </row>
    <row r="17" spans="1:7" x14ac:dyDescent="0.3">
      <c r="A17" s="276"/>
      <c r="B17" s="353"/>
      <c r="C17" s="277"/>
      <c r="D17" s="278"/>
      <c r="E17" s="180"/>
      <c r="F17" s="123">
        <f t="shared" si="0"/>
        <v>0</v>
      </c>
      <c r="G17" s="181">
        <f t="shared" si="1"/>
        <v>0</v>
      </c>
    </row>
    <row r="18" spans="1:7" x14ac:dyDescent="0.3">
      <c r="A18" s="276"/>
      <c r="B18" s="277"/>
      <c r="C18" s="277"/>
      <c r="D18" s="278"/>
      <c r="E18" s="180"/>
      <c r="F18" s="123">
        <f t="shared" si="0"/>
        <v>0</v>
      </c>
      <c r="G18" s="181">
        <f t="shared" si="1"/>
        <v>0</v>
      </c>
    </row>
    <row r="19" spans="1:7" x14ac:dyDescent="0.3">
      <c r="A19" s="276"/>
      <c r="B19" s="277"/>
      <c r="C19" s="277"/>
      <c r="D19" s="278"/>
      <c r="E19" s="180"/>
      <c r="F19" s="123">
        <f t="shared" si="0"/>
        <v>0</v>
      </c>
      <c r="G19" s="181">
        <f t="shared" si="1"/>
        <v>0</v>
      </c>
    </row>
    <row r="20" spans="1:7" x14ac:dyDescent="0.3">
      <c r="A20" s="276"/>
      <c r="B20" s="277"/>
      <c r="C20" s="277"/>
      <c r="D20" s="278"/>
      <c r="E20" s="180"/>
      <c r="F20" s="123">
        <f t="shared" si="0"/>
        <v>0</v>
      </c>
      <c r="G20" s="181">
        <f t="shared" ref="G20:G27" si="2">E20/11</f>
        <v>0</v>
      </c>
    </row>
    <row r="21" spans="1:7" x14ac:dyDescent="0.3">
      <c r="A21" s="276"/>
      <c r="B21" s="277"/>
      <c r="C21" s="277"/>
      <c r="D21" s="278"/>
      <c r="E21" s="180"/>
      <c r="F21" s="123">
        <f t="shared" si="0"/>
        <v>0</v>
      </c>
      <c r="G21" s="181">
        <f t="shared" si="2"/>
        <v>0</v>
      </c>
    </row>
    <row r="22" spans="1:7" x14ac:dyDescent="0.3">
      <c r="A22" s="276"/>
      <c r="B22" s="277"/>
      <c r="C22" s="277"/>
      <c r="D22" s="278"/>
      <c r="E22" s="180"/>
      <c r="F22" s="123">
        <f t="shared" si="0"/>
        <v>0</v>
      </c>
      <c r="G22" s="181">
        <f t="shared" si="2"/>
        <v>0</v>
      </c>
    </row>
    <row r="23" spans="1:7" x14ac:dyDescent="0.3">
      <c r="A23" s="276"/>
      <c r="B23" s="277"/>
      <c r="C23" s="277"/>
      <c r="D23" s="278"/>
      <c r="E23" s="180"/>
      <c r="F23" s="123">
        <f t="shared" si="0"/>
        <v>0</v>
      </c>
      <c r="G23" s="181">
        <f t="shared" si="2"/>
        <v>0</v>
      </c>
    </row>
    <row r="24" spans="1:7" x14ac:dyDescent="0.3">
      <c r="A24" s="276"/>
      <c r="B24" s="277"/>
      <c r="C24" s="277"/>
      <c r="D24" s="278"/>
      <c r="E24" s="180"/>
      <c r="F24" s="123">
        <f t="shared" si="0"/>
        <v>0</v>
      </c>
      <c r="G24" s="181">
        <f t="shared" si="2"/>
        <v>0</v>
      </c>
    </row>
    <row r="25" spans="1:7" x14ac:dyDescent="0.3">
      <c r="A25" s="276"/>
      <c r="B25" s="277"/>
      <c r="C25" s="277"/>
      <c r="D25" s="278"/>
      <c r="E25" s="180"/>
      <c r="F25" s="123">
        <f t="shared" si="0"/>
        <v>0</v>
      </c>
      <c r="G25" s="181">
        <f t="shared" si="2"/>
        <v>0</v>
      </c>
    </row>
    <row r="26" spans="1:7" x14ac:dyDescent="0.3">
      <c r="A26" s="276"/>
      <c r="B26" s="277"/>
      <c r="C26" s="277"/>
      <c r="D26" s="278"/>
      <c r="E26" s="180"/>
      <c r="F26" s="123">
        <f t="shared" si="0"/>
        <v>0</v>
      </c>
      <c r="G26" s="181">
        <f t="shared" si="2"/>
        <v>0</v>
      </c>
    </row>
    <row r="27" spans="1:7" x14ac:dyDescent="0.3">
      <c r="A27" s="276"/>
      <c r="B27" s="277"/>
      <c r="C27" s="277"/>
      <c r="D27" s="278"/>
      <c r="E27" s="180"/>
      <c r="F27" s="123">
        <f t="shared" si="0"/>
        <v>0</v>
      </c>
      <c r="G27" s="181">
        <f t="shared" si="2"/>
        <v>0</v>
      </c>
    </row>
    <row r="28" spans="1:7" x14ac:dyDescent="0.3">
      <c r="A28" s="276"/>
      <c r="B28" s="277"/>
      <c r="C28" s="277"/>
      <c r="D28" s="278"/>
      <c r="E28" s="180"/>
      <c r="F28" s="123">
        <f t="shared" ref="F28:F39" si="3">E28-G28</f>
        <v>0</v>
      </c>
      <c r="G28" s="181">
        <f t="shared" ref="G28:G39" si="4">E28/11</f>
        <v>0</v>
      </c>
    </row>
    <row r="29" spans="1:7" x14ac:dyDescent="0.3">
      <c r="A29" s="276"/>
      <c r="B29" s="277"/>
      <c r="C29" s="277"/>
      <c r="D29" s="278"/>
      <c r="E29" s="180"/>
      <c r="F29" s="123">
        <f t="shared" si="3"/>
        <v>0</v>
      </c>
      <c r="G29" s="181">
        <f t="shared" si="4"/>
        <v>0</v>
      </c>
    </row>
    <row r="30" spans="1:7" x14ac:dyDescent="0.3">
      <c r="A30" s="276"/>
      <c r="B30" s="277"/>
      <c r="C30" s="277"/>
      <c r="D30" s="278"/>
      <c r="E30" s="180"/>
      <c r="F30" s="123">
        <f t="shared" si="3"/>
        <v>0</v>
      </c>
      <c r="G30" s="181">
        <f t="shared" si="4"/>
        <v>0</v>
      </c>
    </row>
    <row r="31" spans="1:7" x14ac:dyDescent="0.3">
      <c r="A31" s="276"/>
      <c r="B31" s="277"/>
      <c r="C31" s="277"/>
      <c r="D31" s="278"/>
      <c r="E31" s="180"/>
      <c r="F31" s="123">
        <f t="shared" si="3"/>
        <v>0</v>
      </c>
      <c r="G31" s="181">
        <f t="shared" si="4"/>
        <v>0</v>
      </c>
    </row>
    <row r="32" spans="1:7" x14ac:dyDescent="0.3">
      <c r="A32" s="276"/>
      <c r="B32" s="277"/>
      <c r="C32" s="277"/>
      <c r="D32" s="278"/>
      <c r="E32" s="180"/>
      <c r="F32" s="123">
        <f t="shared" si="3"/>
        <v>0</v>
      </c>
      <c r="G32" s="181">
        <f t="shared" si="4"/>
        <v>0</v>
      </c>
    </row>
    <row r="33" spans="1:7" x14ac:dyDescent="0.3">
      <c r="A33" s="276"/>
      <c r="B33" s="277"/>
      <c r="C33" s="277"/>
      <c r="D33" s="278"/>
      <c r="E33" s="180"/>
      <c r="F33" s="123">
        <f t="shared" si="3"/>
        <v>0</v>
      </c>
      <c r="G33" s="181">
        <f t="shared" si="4"/>
        <v>0</v>
      </c>
    </row>
    <row r="34" spans="1:7" x14ac:dyDescent="0.3">
      <c r="A34" s="276"/>
      <c r="B34" s="277"/>
      <c r="C34" s="277"/>
      <c r="D34" s="278"/>
      <c r="E34" s="180"/>
      <c r="F34" s="123">
        <f t="shared" si="3"/>
        <v>0</v>
      </c>
      <c r="G34" s="181">
        <f t="shared" si="4"/>
        <v>0</v>
      </c>
    </row>
    <row r="35" spans="1:7" x14ac:dyDescent="0.3">
      <c r="A35" s="276"/>
      <c r="B35" s="277"/>
      <c r="C35" s="277"/>
      <c r="D35" s="278"/>
      <c r="E35" s="180"/>
      <c r="F35" s="123">
        <f t="shared" si="3"/>
        <v>0</v>
      </c>
      <c r="G35" s="181">
        <f t="shared" si="4"/>
        <v>0</v>
      </c>
    </row>
    <row r="36" spans="1:7" x14ac:dyDescent="0.3">
      <c r="A36" s="276"/>
      <c r="B36" s="277"/>
      <c r="C36" s="277"/>
      <c r="D36" s="278"/>
      <c r="E36" s="180"/>
      <c r="F36" s="123">
        <f t="shared" si="3"/>
        <v>0</v>
      </c>
      <c r="G36" s="181">
        <f t="shared" si="4"/>
        <v>0</v>
      </c>
    </row>
    <row r="37" spans="1:7" x14ac:dyDescent="0.3">
      <c r="A37" s="276"/>
      <c r="B37" s="277"/>
      <c r="C37" s="277"/>
      <c r="D37" s="278"/>
      <c r="E37" s="180"/>
      <c r="F37" s="123">
        <f t="shared" si="3"/>
        <v>0</v>
      </c>
      <c r="G37" s="181">
        <f t="shared" si="4"/>
        <v>0</v>
      </c>
    </row>
    <row r="38" spans="1:7" x14ac:dyDescent="0.3">
      <c r="A38" s="276"/>
      <c r="B38" s="277"/>
      <c r="C38" s="277"/>
      <c r="D38" s="278"/>
      <c r="E38" s="180"/>
      <c r="F38" s="123">
        <f t="shared" si="3"/>
        <v>0</v>
      </c>
      <c r="G38" s="181">
        <f t="shared" si="4"/>
        <v>0</v>
      </c>
    </row>
    <row r="39" spans="1:7" ht="17.25" thickBot="1" x14ac:dyDescent="0.35">
      <c r="A39" s="279"/>
      <c r="B39" s="280"/>
      <c r="C39" s="280"/>
      <c r="D39" s="281"/>
      <c r="E39" s="268"/>
      <c r="F39" s="161">
        <f t="shared" si="3"/>
        <v>0</v>
      </c>
      <c r="G39" s="270">
        <f t="shared" si="4"/>
        <v>0</v>
      </c>
    </row>
    <row r="40" spans="1:7" s="293" customFormat="1" ht="34.5" customHeight="1" thickBot="1" x14ac:dyDescent="0.4">
      <c r="A40" s="295"/>
      <c r="B40" s="296"/>
      <c r="C40" s="297"/>
      <c r="D40" s="298" t="s">
        <v>17</v>
      </c>
      <c r="E40" s="299">
        <f>SUM(E4:E39)</f>
        <v>0</v>
      </c>
      <c r="F40" s="299">
        <f>SUM(F4:F39)</f>
        <v>0</v>
      </c>
      <c r="G40" s="300">
        <f>SUM(G4:G39)</f>
        <v>0</v>
      </c>
    </row>
  </sheetData>
  <sheetProtection algorithmName="SHA-512" hashValue="fuAedlSXyxsPHUukSCJyTVjd9jOwONM01BKa51GV7Xll4SpR6Dt5qSQ6abWdS4hMDziH7KL4Gh28pniGNKJEQg==" saltValue="+fF4PnzKjg1fxwEVboS4uA==" spinCount="100000" sheet="1" objects="1" scenarios="1"/>
  <mergeCells count="1">
    <mergeCell ref="F1:G1"/>
  </mergeCells>
  <pageMargins left="0.7" right="0.7" top="0.75" bottom="0.75" header="0.3" footer="0.3"/>
  <pageSetup paperSize="9" scale="71" orientation="landscape" r:id="rId1"/>
  <ignoredErrors>
    <ignoredError sqref="G20:G39 F1 C1 G6 G12 G15:G19" unlockedFormula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8989A-DF7B-49CD-97FB-231CA819CEDE}">
  <dimension ref="A1:D16"/>
  <sheetViews>
    <sheetView workbookViewId="0">
      <selection activeCell="F16" sqref="F16"/>
    </sheetView>
  </sheetViews>
  <sheetFormatPr defaultRowHeight="12.75" x14ac:dyDescent="0.2"/>
  <cols>
    <col min="1" max="1" width="18" customWidth="1"/>
    <col min="2" max="2" width="12.28515625" bestFit="1" customWidth="1"/>
    <col min="3" max="3" width="15.5703125" customWidth="1"/>
    <col min="4" max="4" width="22" customWidth="1"/>
  </cols>
  <sheetData>
    <row r="1" spans="1:4" x14ac:dyDescent="0.2">
      <c r="A1" s="604" t="s">
        <v>303</v>
      </c>
      <c r="B1" s="605" t="s">
        <v>304</v>
      </c>
      <c r="C1" s="605" t="s">
        <v>305</v>
      </c>
      <c r="D1" s="606" t="s">
        <v>306</v>
      </c>
    </row>
    <row r="2" spans="1:4" x14ac:dyDescent="0.2">
      <c r="A2" s="607" t="s">
        <v>307</v>
      </c>
      <c r="B2" s="602">
        <f>SUM('EOW Report'!B14)</f>
        <v>0</v>
      </c>
      <c r="C2" s="602"/>
      <c r="D2" s="608" t="e">
        <f>B2/$C$2</f>
        <v>#DIV/0!</v>
      </c>
    </row>
    <row r="3" spans="1:4" x14ac:dyDescent="0.2">
      <c r="A3" s="607" t="s">
        <v>308</v>
      </c>
      <c r="B3" s="602">
        <f>'EOW Report'!B15</f>
        <v>0</v>
      </c>
      <c r="C3" s="602"/>
      <c r="D3" s="608" t="e">
        <f t="shared" ref="D3:D4" si="0">B3/$C$2</f>
        <v>#DIV/0!</v>
      </c>
    </row>
    <row r="4" spans="1:4" x14ac:dyDescent="0.2">
      <c r="A4" s="607" t="s">
        <v>294</v>
      </c>
      <c r="B4" s="602">
        <f>'EOW Report'!B13</f>
        <v>0</v>
      </c>
      <c r="C4" s="602"/>
      <c r="D4" s="608" t="e">
        <f t="shared" si="0"/>
        <v>#DIV/0!</v>
      </c>
    </row>
    <row r="5" spans="1:4" x14ac:dyDescent="0.2">
      <c r="A5" s="607" t="s">
        <v>309</v>
      </c>
      <c r="B5" s="602"/>
      <c r="C5" s="602"/>
      <c r="D5" s="608"/>
    </row>
    <row r="6" spans="1:4" x14ac:dyDescent="0.2">
      <c r="A6" s="609" t="s">
        <v>281</v>
      </c>
      <c r="B6" s="613">
        <f>'EOW Report'!B19+'EOW Report'!B20</f>
        <v>0</v>
      </c>
      <c r="C6" s="603"/>
      <c r="D6" s="608"/>
    </row>
    <row r="7" spans="1:4" x14ac:dyDescent="0.2">
      <c r="A7" s="610" t="s">
        <v>310</v>
      </c>
      <c r="B7" s="611">
        <f>SUM(B2:B5)</f>
        <v>0</v>
      </c>
      <c r="C7" s="611">
        <f>SUM(C2:C5)</f>
        <v>0</v>
      </c>
      <c r="D7" s="612"/>
    </row>
    <row r="9" spans="1:4" x14ac:dyDescent="0.2">
      <c r="A9" s="815" t="s">
        <v>311</v>
      </c>
      <c r="B9" s="816"/>
      <c r="C9" s="816"/>
      <c r="D9" s="817"/>
    </row>
    <row r="10" spans="1:4" x14ac:dyDescent="0.2">
      <c r="A10" s="818"/>
      <c r="B10" s="819"/>
      <c r="C10" s="819"/>
      <c r="D10" s="820"/>
    </row>
    <row r="11" spans="1:4" x14ac:dyDescent="0.2">
      <c r="A11" s="818"/>
      <c r="B11" s="819"/>
      <c r="C11" s="819"/>
      <c r="D11" s="820"/>
    </row>
    <row r="12" spans="1:4" x14ac:dyDescent="0.2">
      <c r="A12" s="818"/>
      <c r="B12" s="819"/>
      <c r="C12" s="819"/>
      <c r="D12" s="820"/>
    </row>
    <row r="13" spans="1:4" x14ac:dyDescent="0.2">
      <c r="A13" s="818"/>
      <c r="B13" s="819"/>
      <c r="C13" s="819"/>
      <c r="D13" s="820"/>
    </row>
    <row r="14" spans="1:4" x14ac:dyDescent="0.2">
      <c r="A14" s="818"/>
      <c r="B14" s="819"/>
      <c r="C14" s="819"/>
      <c r="D14" s="820"/>
    </row>
    <row r="15" spans="1:4" x14ac:dyDescent="0.2">
      <c r="A15" s="818"/>
      <c r="B15" s="819"/>
      <c r="C15" s="819"/>
      <c r="D15" s="820"/>
    </row>
    <row r="16" spans="1:4" x14ac:dyDescent="0.2">
      <c r="A16" s="821"/>
      <c r="B16" s="822"/>
      <c r="C16" s="822"/>
      <c r="D16" s="823"/>
    </row>
  </sheetData>
  <mergeCells count="1">
    <mergeCell ref="A9:D1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5">
    <tabColor rgb="FF00B050"/>
    <pageSetUpPr fitToPage="1"/>
  </sheetPr>
  <dimension ref="A1:Q40"/>
  <sheetViews>
    <sheetView showGridLines="0" workbookViewId="0">
      <selection activeCell="R36" sqref="R36"/>
    </sheetView>
  </sheetViews>
  <sheetFormatPr defaultColWidth="9.140625" defaultRowHeight="12.75" x14ac:dyDescent="0.2"/>
  <cols>
    <col min="1" max="1" width="13.28515625" style="1" customWidth="1"/>
    <col min="2" max="2" width="12.5703125" style="1" customWidth="1"/>
    <col min="3" max="3" width="9.140625" style="1"/>
    <col min="4" max="4" width="13.7109375" style="1" customWidth="1"/>
    <col min="5" max="5" width="12.5703125" style="1" customWidth="1"/>
    <col min="6" max="6" width="9.140625" style="1" customWidth="1"/>
    <col min="7" max="7" width="13.28515625" style="1" hidden="1" customWidth="1"/>
    <col min="8" max="8" width="12.5703125" style="1" hidden="1" customWidth="1"/>
    <col min="9" max="9" width="0.5703125" style="1" hidden="1" customWidth="1"/>
    <col min="10" max="10" width="13.28515625" style="1" customWidth="1"/>
    <col min="11" max="11" width="12.5703125" style="1" customWidth="1"/>
    <col min="12" max="12" width="9.140625" style="1"/>
    <col min="13" max="13" width="13.28515625" style="1" customWidth="1"/>
    <col min="14" max="14" width="12.5703125" style="1" customWidth="1"/>
    <col min="15" max="15" width="9.140625" style="1"/>
    <col min="16" max="16" width="13.28515625" style="1" customWidth="1"/>
    <col min="17" max="17" width="12.5703125" style="1" customWidth="1"/>
    <col min="18" max="16384" width="9.140625" style="1"/>
  </cols>
  <sheetData>
    <row r="1" spans="1:17" ht="24" thickBot="1" x14ac:dyDescent="0.4">
      <c r="A1" s="824" t="s">
        <v>312</v>
      </c>
      <c r="B1" s="824"/>
      <c r="D1" s="824" t="s">
        <v>22</v>
      </c>
      <c r="E1" s="824"/>
      <c r="G1" s="825" t="s">
        <v>313</v>
      </c>
      <c r="H1" s="825"/>
      <c r="J1" s="824" t="s">
        <v>314</v>
      </c>
      <c r="K1" s="824"/>
      <c r="M1" s="824" t="s">
        <v>315</v>
      </c>
      <c r="N1" s="824"/>
      <c r="P1" s="824" t="s">
        <v>315</v>
      </c>
      <c r="Q1" s="824"/>
    </row>
    <row r="2" spans="1:17" ht="13.9" customHeight="1" thickBot="1" x14ac:dyDescent="0.25">
      <c r="A2" s="826" t="s">
        <v>316</v>
      </c>
      <c r="B2" s="827"/>
      <c r="D2" s="826" t="s">
        <v>316</v>
      </c>
      <c r="E2" s="827"/>
      <c r="G2" s="828" t="s">
        <v>316</v>
      </c>
      <c r="H2" s="829"/>
      <c r="J2" s="826" t="s">
        <v>316</v>
      </c>
      <c r="K2" s="827"/>
      <c r="M2" s="826" t="s">
        <v>316</v>
      </c>
      <c r="N2" s="827"/>
      <c r="P2" s="826" t="s">
        <v>316</v>
      </c>
      <c r="Q2" s="827"/>
    </row>
    <row r="3" spans="1:17" ht="13.9" customHeight="1" x14ac:dyDescent="0.2">
      <c r="A3" s="74">
        <v>100</v>
      </c>
      <c r="B3" s="64"/>
      <c r="D3" s="74">
        <v>100</v>
      </c>
      <c r="E3" s="64"/>
      <c r="G3" s="520">
        <v>100</v>
      </c>
      <c r="H3" s="521"/>
      <c r="J3" s="74">
        <v>100</v>
      </c>
      <c r="K3" s="64"/>
      <c r="M3" s="74">
        <v>100</v>
      </c>
      <c r="N3" s="64"/>
      <c r="P3" s="74">
        <v>100</v>
      </c>
      <c r="Q3" s="64"/>
    </row>
    <row r="4" spans="1:17" x14ac:dyDescent="0.2">
      <c r="A4" s="75">
        <v>50</v>
      </c>
      <c r="B4" s="65"/>
      <c r="D4" s="75">
        <v>50</v>
      </c>
      <c r="E4" s="65"/>
      <c r="G4" s="522">
        <v>50</v>
      </c>
      <c r="H4" s="523"/>
      <c r="J4" s="75">
        <v>50</v>
      </c>
      <c r="K4" s="65"/>
      <c r="M4" s="75">
        <v>50</v>
      </c>
      <c r="N4" s="65"/>
      <c r="P4" s="75">
        <v>50</v>
      </c>
      <c r="Q4" s="65"/>
    </row>
    <row r="5" spans="1:17" x14ac:dyDescent="0.2">
      <c r="A5" s="75">
        <v>20</v>
      </c>
      <c r="B5" s="65"/>
      <c r="D5" s="75">
        <v>20</v>
      </c>
      <c r="E5" s="65"/>
      <c r="G5" s="522">
        <v>20</v>
      </c>
      <c r="H5" s="523"/>
      <c r="J5" s="75">
        <v>20</v>
      </c>
      <c r="K5" s="65"/>
      <c r="M5" s="75">
        <v>20</v>
      </c>
      <c r="N5" s="65"/>
      <c r="P5" s="75">
        <v>20</v>
      </c>
      <c r="Q5" s="65"/>
    </row>
    <row r="6" spans="1:17" x14ac:dyDescent="0.2">
      <c r="A6" s="75">
        <v>10</v>
      </c>
      <c r="B6" s="65"/>
      <c r="D6" s="75">
        <v>10</v>
      </c>
      <c r="E6" s="65"/>
      <c r="G6" s="522">
        <v>10</v>
      </c>
      <c r="H6" s="523"/>
      <c r="J6" s="75">
        <v>10</v>
      </c>
      <c r="K6" s="65"/>
      <c r="M6" s="75">
        <v>10</v>
      </c>
      <c r="N6" s="65"/>
      <c r="P6" s="75">
        <v>10</v>
      </c>
      <c r="Q6" s="65"/>
    </row>
    <row r="7" spans="1:17" x14ac:dyDescent="0.2">
      <c r="A7" s="75">
        <v>5</v>
      </c>
      <c r="B7" s="65"/>
      <c r="D7" s="75">
        <v>5</v>
      </c>
      <c r="E7" s="65"/>
      <c r="G7" s="522">
        <v>5</v>
      </c>
      <c r="H7" s="523"/>
      <c r="J7" s="75">
        <v>5</v>
      </c>
      <c r="K7" s="65"/>
      <c r="M7" s="75">
        <v>5</v>
      </c>
      <c r="N7" s="65"/>
      <c r="P7" s="75">
        <v>5</v>
      </c>
      <c r="Q7" s="65"/>
    </row>
    <row r="8" spans="1:17" x14ac:dyDescent="0.2">
      <c r="A8" s="76" t="s">
        <v>317</v>
      </c>
      <c r="B8" s="66">
        <f>SUM(B3:B7)</f>
        <v>0</v>
      </c>
      <c r="D8" s="76" t="s">
        <v>317</v>
      </c>
      <c r="E8" s="66">
        <f>SUM(E3:E7)</f>
        <v>0</v>
      </c>
      <c r="G8" s="524" t="s">
        <v>317</v>
      </c>
      <c r="H8" s="525">
        <f>SUM(H3:H7)</f>
        <v>0</v>
      </c>
      <c r="J8" s="76" t="s">
        <v>317</v>
      </c>
      <c r="K8" s="66">
        <f>K3+K4+K5+K6+K7</f>
        <v>0</v>
      </c>
      <c r="M8" s="76" t="s">
        <v>317</v>
      </c>
      <c r="N8" s="66">
        <f>SUM(N3:N7)</f>
        <v>0</v>
      </c>
      <c r="P8" s="76" t="s">
        <v>317</v>
      </c>
      <c r="Q8" s="66">
        <f>SUM(Q3:Q7)</f>
        <v>0</v>
      </c>
    </row>
    <row r="9" spans="1:17" ht="13.5" thickBot="1" x14ac:dyDescent="0.25">
      <c r="A9" s="77" t="s">
        <v>318</v>
      </c>
      <c r="B9" s="67"/>
      <c r="D9" s="77" t="s">
        <v>318</v>
      </c>
      <c r="E9" s="67"/>
      <c r="G9" s="526" t="s">
        <v>318</v>
      </c>
      <c r="H9" s="527"/>
      <c r="J9" s="77" t="s">
        <v>318</v>
      </c>
      <c r="K9" s="67"/>
      <c r="M9" s="77" t="s">
        <v>318</v>
      </c>
      <c r="N9" s="67"/>
      <c r="P9" s="77" t="s">
        <v>318</v>
      </c>
      <c r="Q9" s="67"/>
    </row>
    <row r="10" spans="1:17" ht="13.5" thickBot="1" x14ac:dyDescent="0.25">
      <c r="A10" s="78" t="s">
        <v>319</v>
      </c>
      <c r="B10" s="71">
        <f>SUM(B8:B9)</f>
        <v>0</v>
      </c>
      <c r="D10" s="78" t="s">
        <v>319</v>
      </c>
      <c r="E10" s="71">
        <f>SUM(E8:E9)</f>
        <v>0</v>
      </c>
      <c r="G10" s="528" t="s">
        <v>319</v>
      </c>
      <c r="H10" s="529">
        <f>SUM(H8:H9)</f>
        <v>0</v>
      </c>
      <c r="J10" s="78" t="s">
        <v>319</v>
      </c>
      <c r="K10" s="71">
        <f>SUM(K8:K9)</f>
        <v>0</v>
      </c>
      <c r="M10" s="78" t="s">
        <v>319</v>
      </c>
      <c r="N10" s="71">
        <f>SUM(N8:N9)</f>
        <v>0</v>
      </c>
      <c r="P10" s="78" t="s">
        <v>319</v>
      </c>
      <c r="Q10" s="71">
        <f>SUM(Q8:Q9)</f>
        <v>0</v>
      </c>
    </row>
    <row r="11" spans="1:17" ht="13.5" thickBot="1" x14ac:dyDescent="0.25">
      <c r="A11" s="79"/>
      <c r="B11" s="80"/>
      <c r="D11" s="79"/>
      <c r="E11" s="80"/>
      <c r="G11" s="530"/>
      <c r="H11" s="531"/>
      <c r="J11" s="79"/>
      <c r="K11" s="80"/>
      <c r="M11" s="79"/>
      <c r="N11" s="80"/>
      <c r="P11" s="79"/>
      <c r="Q11" s="80"/>
    </row>
    <row r="12" spans="1:17" ht="13.5" thickBot="1" x14ac:dyDescent="0.25">
      <c r="A12" s="826" t="s">
        <v>320</v>
      </c>
      <c r="B12" s="827"/>
      <c r="D12" s="826" t="s">
        <v>320</v>
      </c>
      <c r="E12" s="827"/>
      <c r="G12" s="828" t="s">
        <v>320</v>
      </c>
      <c r="H12" s="829"/>
      <c r="J12" s="826" t="s">
        <v>320</v>
      </c>
      <c r="K12" s="827"/>
      <c r="M12" s="826" t="s">
        <v>320</v>
      </c>
      <c r="N12" s="827"/>
      <c r="P12" s="826" t="s">
        <v>320</v>
      </c>
      <c r="Q12" s="827"/>
    </row>
    <row r="13" spans="1:17" x14ac:dyDescent="0.2">
      <c r="A13" s="68"/>
      <c r="B13" s="64"/>
      <c r="D13" s="68"/>
      <c r="E13" s="64"/>
      <c r="G13" s="532"/>
      <c r="H13" s="521"/>
      <c r="J13" s="68"/>
      <c r="K13" s="64"/>
      <c r="M13" s="68"/>
      <c r="N13" s="64"/>
      <c r="P13" s="68"/>
      <c r="Q13" s="64"/>
    </row>
    <row r="14" spans="1:17" x14ac:dyDescent="0.2">
      <c r="A14" s="69"/>
      <c r="B14" s="65"/>
      <c r="D14" s="69"/>
      <c r="E14" s="65"/>
      <c r="G14" s="533"/>
      <c r="H14" s="523"/>
      <c r="J14" s="69"/>
      <c r="K14" s="65"/>
      <c r="M14" s="69"/>
      <c r="N14" s="65"/>
      <c r="P14" s="69"/>
      <c r="Q14" s="65"/>
    </row>
    <row r="15" spans="1:17" x14ac:dyDescent="0.2">
      <c r="A15" s="69"/>
      <c r="B15" s="65"/>
      <c r="D15" s="69"/>
      <c r="E15" s="65"/>
      <c r="G15" s="533"/>
      <c r="H15" s="523"/>
      <c r="J15" s="69"/>
      <c r="K15" s="65"/>
      <c r="M15" s="69"/>
      <c r="N15" s="65"/>
      <c r="P15" s="69"/>
      <c r="Q15" s="65"/>
    </row>
    <row r="16" spans="1:17" x14ac:dyDescent="0.2">
      <c r="A16" s="69"/>
      <c r="B16" s="65"/>
      <c r="D16" s="69"/>
      <c r="E16" s="65"/>
      <c r="G16" s="533"/>
      <c r="H16" s="523"/>
      <c r="J16" s="69"/>
      <c r="K16" s="65"/>
      <c r="M16" s="69"/>
      <c r="N16" s="65"/>
      <c r="P16" s="69"/>
      <c r="Q16" s="65"/>
    </row>
    <row r="17" spans="1:17" x14ac:dyDescent="0.2">
      <c r="A17" s="69"/>
      <c r="B17" s="65"/>
      <c r="D17" s="69"/>
      <c r="E17" s="65"/>
      <c r="G17" s="533"/>
      <c r="H17" s="523"/>
      <c r="J17" s="69"/>
      <c r="K17" s="65"/>
      <c r="M17" s="69"/>
      <c r="N17" s="65"/>
      <c r="P17" s="69"/>
      <c r="Q17" s="65"/>
    </row>
    <row r="18" spans="1:17" x14ac:dyDescent="0.2">
      <c r="A18" s="69"/>
      <c r="B18" s="65"/>
      <c r="D18" s="69"/>
      <c r="E18" s="65"/>
      <c r="G18" s="533"/>
      <c r="H18" s="523"/>
      <c r="J18" s="69"/>
      <c r="K18" s="65"/>
      <c r="M18" s="69"/>
      <c r="N18" s="65"/>
      <c r="P18" s="69"/>
      <c r="Q18" s="65"/>
    </row>
    <row r="19" spans="1:17" x14ac:dyDescent="0.2">
      <c r="A19" s="69"/>
      <c r="B19" s="65"/>
      <c r="D19" s="69"/>
      <c r="E19" s="65"/>
      <c r="G19" s="533"/>
      <c r="H19" s="523"/>
      <c r="J19" s="69"/>
      <c r="K19" s="65"/>
      <c r="M19" s="69"/>
      <c r="N19" s="65"/>
      <c r="P19" s="69"/>
      <c r="Q19" s="65"/>
    </row>
    <row r="20" spans="1:17" x14ac:dyDescent="0.2">
      <c r="A20" s="69"/>
      <c r="B20" s="65"/>
      <c r="D20" s="69"/>
      <c r="E20" s="65"/>
      <c r="G20" s="533"/>
      <c r="H20" s="523"/>
      <c r="J20" s="69"/>
      <c r="K20" s="65"/>
      <c r="M20" s="69"/>
      <c r="N20" s="65"/>
      <c r="P20" s="69"/>
      <c r="Q20" s="65"/>
    </row>
    <row r="21" spans="1:17" x14ac:dyDescent="0.2">
      <c r="A21" s="69"/>
      <c r="B21" s="65"/>
      <c r="D21" s="69"/>
      <c r="E21" s="65"/>
      <c r="G21" s="533"/>
      <c r="H21" s="523"/>
      <c r="J21" s="69"/>
      <c r="K21" s="65"/>
      <c r="M21" s="69"/>
      <c r="N21" s="65"/>
      <c r="P21" s="69"/>
      <c r="Q21" s="65"/>
    </row>
    <row r="22" spans="1:17" x14ac:dyDescent="0.2">
      <c r="A22" s="69"/>
      <c r="B22" s="65"/>
      <c r="D22" s="69"/>
      <c r="E22" s="65"/>
      <c r="G22" s="533"/>
      <c r="H22" s="523"/>
      <c r="J22" s="69"/>
      <c r="K22" s="65"/>
      <c r="M22" s="69"/>
      <c r="N22" s="65"/>
      <c r="P22" s="69"/>
      <c r="Q22" s="65"/>
    </row>
    <row r="23" spans="1:17" ht="13.5" thickBot="1" x14ac:dyDescent="0.25">
      <c r="A23" s="70"/>
      <c r="B23" s="67"/>
      <c r="D23" s="70"/>
      <c r="E23" s="67"/>
      <c r="G23" s="534"/>
      <c r="H23" s="527"/>
      <c r="J23" s="70"/>
      <c r="K23" s="67"/>
      <c r="M23" s="70"/>
      <c r="N23" s="67"/>
      <c r="P23" s="70"/>
      <c r="Q23" s="67"/>
    </row>
    <row r="24" spans="1:17" ht="13.5" thickBot="1" x14ac:dyDescent="0.25">
      <c r="A24" s="81" t="s">
        <v>321</v>
      </c>
      <c r="B24" s="71">
        <f>SUM(A13:B23)</f>
        <v>0</v>
      </c>
      <c r="D24" s="81" t="s">
        <v>321</v>
      </c>
      <c r="E24" s="71">
        <f>SUM(D13:E23)</f>
        <v>0</v>
      </c>
      <c r="G24" s="535" t="s">
        <v>321</v>
      </c>
      <c r="H24" s="529">
        <f>SUM(G13:H23)</f>
        <v>0</v>
      </c>
      <c r="J24" s="81" t="s">
        <v>321</v>
      </c>
      <c r="K24" s="71">
        <f>SUM(J13:K23)</f>
        <v>0</v>
      </c>
      <c r="M24" s="81" t="s">
        <v>321</v>
      </c>
      <c r="N24" s="71">
        <f>SUM(M13:N23)</f>
        <v>0</v>
      </c>
      <c r="P24" s="81" t="s">
        <v>321</v>
      </c>
      <c r="Q24" s="71">
        <f>SUM(P13:Q23)</f>
        <v>0</v>
      </c>
    </row>
    <row r="25" spans="1:17" ht="13.5" thickBot="1" x14ac:dyDescent="0.25">
      <c r="G25" s="493"/>
      <c r="H25" s="493"/>
    </row>
    <row r="26" spans="1:17" ht="13.5" thickBot="1" x14ac:dyDescent="0.25">
      <c r="A26" s="81" t="s">
        <v>322</v>
      </c>
      <c r="B26" s="82">
        <f>B24+B10</f>
        <v>0</v>
      </c>
      <c r="D26" s="81" t="s">
        <v>322</v>
      </c>
      <c r="E26" s="82">
        <f>E24+E10</f>
        <v>0</v>
      </c>
      <c r="G26" s="535" t="s">
        <v>322</v>
      </c>
      <c r="H26" s="536">
        <f>H24+H10</f>
        <v>0</v>
      </c>
      <c r="J26" s="81" t="s">
        <v>322</v>
      </c>
      <c r="K26" s="82">
        <f>K24+K10</f>
        <v>0</v>
      </c>
      <c r="M26" s="81" t="s">
        <v>322</v>
      </c>
      <c r="N26" s="82">
        <f>N24+N10</f>
        <v>0</v>
      </c>
      <c r="P26" s="81" t="s">
        <v>322</v>
      </c>
      <c r="Q26" s="82">
        <f>Q24+Q10</f>
        <v>0</v>
      </c>
    </row>
    <row r="27" spans="1:17" ht="13.5" thickBot="1" x14ac:dyDescent="0.25">
      <c r="G27" s="493"/>
      <c r="H27" s="493"/>
    </row>
    <row r="28" spans="1:17" ht="13.5" thickBot="1" x14ac:dyDescent="0.25">
      <c r="A28" s="83" t="s">
        <v>323</v>
      </c>
      <c r="B28" s="84">
        <f>B26-Takings!O12</f>
        <v>0</v>
      </c>
      <c r="D28" s="83" t="s">
        <v>323</v>
      </c>
      <c r="E28" s="84">
        <f>E26-Takings!M46</f>
        <v>0</v>
      </c>
      <c r="G28" s="537" t="s">
        <v>323</v>
      </c>
      <c r="H28" s="538">
        <f>E15</f>
        <v>0</v>
      </c>
      <c r="J28" s="83" t="s">
        <v>323</v>
      </c>
      <c r="K28" s="84">
        <f>K26-K32</f>
        <v>0</v>
      </c>
      <c r="M28" s="85"/>
      <c r="N28" s="86"/>
      <c r="P28" s="85"/>
      <c r="Q28" s="86"/>
    </row>
    <row r="29" spans="1:17" ht="13.5" thickBot="1" x14ac:dyDescent="0.25">
      <c r="A29" s="87" t="s">
        <v>324</v>
      </c>
      <c r="B29" s="73"/>
      <c r="D29" s="87" t="s">
        <v>324</v>
      </c>
      <c r="E29" s="73"/>
      <c r="G29" s="539" t="s">
        <v>324</v>
      </c>
      <c r="H29" s="540"/>
      <c r="J29" s="87" t="s">
        <v>324</v>
      </c>
      <c r="K29" s="73"/>
      <c r="M29" s="87" t="s">
        <v>324</v>
      </c>
      <c r="N29" s="73"/>
      <c r="P29" s="87" t="s">
        <v>324</v>
      </c>
      <c r="Q29" s="73"/>
    </row>
    <row r="31" spans="1:17" ht="13.5" thickBot="1" x14ac:dyDescent="0.25"/>
    <row r="32" spans="1:17" ht="15.75" thickBot="1" x14ac:dyDescent="0.3">
      <c r="A32" s="6" t="s">
        <v>325</v>
      </c>
      <c r="B32" s="71">
        <f>Takings!T31</f>
        <v>0</v>
      </c>
      <c r="J32" s="541" t="s">
        <v>326</v>
      </c>
      <c r="K32" s="416"/>
    </row>
    <row r="33" spans="1:6" ht="13.5" thickBot="1" x14ac:dyDescent="0.25">
      <c r="A33" s="87" t="s">
        <v>324</v>
      </c>
      <c r="B33" s="73"/>
    </row>
    <row r="34" spans="1:6" ht="13.5" thickBot="1" x14ac:dyDescent="0.25"/>
    <row r="35" spans="1:6" ht="21" thickBot="1" x14ac:dyDescent="0.35">
      <c r="A35" s="830" t="s">
        <v>327</v>
      </c>
      <c r="B35" s="831"/>
      <c r="C35" s="832"/>
      <c r="D35" s="90"/>
    </row>
    <row r="36" spans="1:6" ht="15.75" x14ac:dyDescent="0.25">
      <c r="A36" s="88" t="s">
        <v>316</v>
      </c>
      <c r="B36" s="833">
        <f>B10+E10+H10+K10+N10+Q10</f>
        <v>0</v>
      </c>
      <c r="C36" s="834"/>
    </row>
    <row r="37" spans="1:6" ht="16.5" thickBot="1" x14ac:dyDescent="0.3">
      <c r="A37" s="89" t="s">
        <v>320</v>
      </c>
      <c r="B37" s="835">
        <f>B24+E24+H24+K24+N24+Q24+B32</f>
        <v>0</v>
      </c>
      <c r="C37" s="836"/>
    </row>
    <row r="38" spans="1:6" ht="24" thickBot="1" x14ac:dyDescent="0.4">
      <c r="A38" s="837">
        <f>SUM(B36:B37)</f>
        <v>0</v>
      </c>
      <c r="B38" s="838"/>
      <c r="C38" s="839"/>
      <c r="F38" s="72"/>
    </row>
    <row r="39" spans="1:6" x14ac:dyDescent="0.2">
      <c r="A39" s="840" t="s">
        <v>328</v>
      </c>
      <c r="B39" s="841"/>
      <c r="C39" s="844"/>
    </row>
    <row r="40" spans="1:6" ht="13.5" thickBot="1" x14ac:dyDescent="0.25">
      <c r="A40" s="842"/>
      <c r="B40" s="843"/>
      <c r="C40" s="845"/>
    </row>
  </sheetData>
  <sheetProtection algorithmName="SHA-512" hashValue="6S1I3Y980Ezlo0RR41fctGIR42wvQPCM1WRl7WEDYNLiCIEp6W1N59aC+dMB3qXrnG7rB88dTAUzebJAYlYZ5Q==" saltValue="P6U/1qNyVOq+M/IVk8/4Mg==" spinCount="100000" sheet="1" objects="1" scenarios="1"/>
  <mergeCells count="24">
    <mergeCell ref="A35:C35"/>
    <mergeCell ref="B36:C36"/>
    <mergeCell ref="B37:C37"/>
    <mergeCell ref="A38:C38"/>
    <mergeCell ref="A39:B40"/>
    <mergeCell ref="C39:C40"/>
    <mergeCell ref="P12:Q12"/>
    <mergeCell ref="A2:B2"/>
    <mergeCell ref="D2:E2"/>
    <mergeCell ref="G2:H2"/>
    <mergeCell ref="J2:K2"/>
    <mergeCell ref="M2:N2"/>
    <mergeCell ref="P2:Q2"/>
    <mergeCell ref="A12:B12"/>
    <mergeCell ref="D12:E12"/>
    <mergeCell ref="G12:H12"/>
    <mergeCell ref="J12:K12"/>
    <mergeCell ref="M12:N12"/>
    <mergeCell ref="P1:Q1"/>
    <mergeCell ref="A1:B1"/>
    <mergeCell ref="D1:E1"/>
    <mergeCell ref="G1:H1"/>
    <mergeCell ref="J1:K1"/>
    <mergeCell ref="M1:N1"/>
  </mergeCells>
  <pageMargins left="0.7" right="0.7" top="0.75" bottom="0.75" header="0.3" footer="0.3"/>
  <pageSetup scale="4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9</vt:i4>
      </vt:variant>
    </vt:vector>
  </HeadingPairs>
  <TitlesOfParts>
    <vt:vector size="29" baseType="lpstr">
      <vt:lpstr>Mon</vt:lpstr>
      <vt:lpstr>Mon diary</vt:lpstr>
      <vt:lpstr>Tue</vt:lpstr>
      <vt:lpstr>Tue diary</vt:lpstr>
      <vt:lpstr>Wed</vt:lpstr>
      <vt:lpstr>Wed diary</vt:lpstr>
      <vt:lpstr>Thu</vt:lpstr>
      <vt:lpstr>Thu diary</vt:lpstr>
      <vt:lpstr>Fri</vt:lpstr>
      <vt:lpstr>Fri diary</vt:lpstr>
      <vt:lpstr>Sat</vt:lpstr>
      <vt:lpstr>Sat diary</vt:lpstr>
      <vt:lpstr>Sun</vt:lpstr>
      <vt:lpstr>Sun diary</vt:lpstr>
      <vt:lpstr>Takings</vt:lpstr>
      <vt:lpstr>Safe Count</vt:lpstr>
      <vt:lpstr>EOW Report</vt:lpstr>
      <vt:lpstr>Petty Cash</vt:lpstr>
      <vt:lpstr>WAGES</vt:lpstr>
      <vt:lpstr>Banking EOW</vt:lpstr>
      <vt:lpstr>Fri!Print_Area</vt:lpstr>
      <vt:lpstr>Mon!Print_Area</vt:lpstr>
      <vt:lpstr>'Mon diary'!Print_Area</vt:lpstr>
      <vt:lpstr>Sat!Print_Area</vt:lpstr>
      <vt:lpstr>Sun!Print_Area</vt:lpstr>
      <vt:lpstr>Takings!Print_Area</vt:lpstr>
      <vt:lpstr>Thu!Print_Area</vt:lpstr>
      <vt:lpstr>Tue!Print_Area</vt:lpstr>
      <vt:lpstr>Wed!Print_Area</vt:lpstr>
    </vt:vector>
  </TitlesOfParts>
  <Manager/>
  <Company>Thomas Hotels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 Mitchell</dc:creator>
  <cp:keywords/>
  <dc:description/>
  <cp:lastModifiedBy>Republic Hotel</cp:lastModifiedBy>
  <cp:revision/>
  <dcterms:created xsi:type="dcterms:W3CDTF">2000-07-10T06:08:16Z</dcterms:created>
  <dcterms:modified xsi:type="dcterms:W3CDTF">2026-03-23T02:38:06Z</dcterms:modified>
  <cp:category/>
  <cp:contentStatus/>
</cp:coreProperties>
</file>